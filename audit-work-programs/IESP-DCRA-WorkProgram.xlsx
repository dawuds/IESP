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hodology &amp; Approach" sheetId="1" state="visible" r:id="rId1"/>
    <sheet xmlns:r="http://schemas.openxmlformats.org/officeDocument/2006/relationships" name="Scoping" sheetId="2" state="visible" r:id="rId2"/>
    <sheet xmlns:r="http://schemas.openxmlformats.org/officeDocument/2006/relationships" name="Planning" sheetId="3" state="visible" r:id="rId3"/>
    <sheet xmlns:r="http://schemas.openxmlformats.org/officeDocument/2006/relationships" name="DCRA Assessment" sheetId="4" state="visible" r:id="rId4"/>
    <sheet xmlns:r="http://schemas.openxmlformats.org/officeDocument/2006/relationships" name="Appendix 7 Part D" sheetId="5" state="visible" r:id="rId5"/>
    <sheet xmlns:r="http://schemas.openxmlformats.org/officeDocument/2006/relationships" name="Reporting &amp; Attestation" sheetId="6" state="visible" r:id="rId6"/>
    <sheet xmlns:r="http://schemas.openxmlformats.org/officeDocument/2006/relationships" name="Part C Self-Assessment" sheetId="7" state="visible" r:id="rId7"/>
    <sheet xmlns:r="http://schemas.openxmlformats.org/officeDocument/2006/relationships" name="Scoring Dashboard"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Calibri"/>
      <b val="1"/>
      <color rgb="002F5496"/>
      <sz val="14"/>
    </font>
    <font>
      <name val="Calibri"/>
      <b val="1"/>
      <color rgb="002F5496"/>
      <sz val="12"/>
    </font>
    <font>
      <name val="Calibri"/>
      <b val="1"/>
      <sz val="10"/>
    </font>
    <font>
      <name val="Calibri"/>
      <sz val="10"/>
    </font>
    <font>
      <name val="Calibri"/>
      <b val="1"/>
      <color rgb="00FFFFFF"/>
      <sz val="11"/>
    </font>
    <font>
      <name val="Calibri"/>
      <b val="1"/>
      <color rgb="002F5496"/>
      <sz val="11"/>
    </font>
    <font>
      <name val="Calibri"/>
      <i val="1"/>
      <sz val="10"/>
    </font>
  </fonts>
  <fills count="10">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E2EFDA"/>
        <bgColor rgb="00E2EFDA"/>
      </patternFill>
    </fill>
    <fill>
      <patternFill patternType="solid">
        <fgColor rgb="00FFF2CC"/>
        <bgColor rgb="00FFF2CC"/>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2">
    <border>
      <left/>
      <right/>
      <top/>
      <bottom/>
      <diagonal/>
    </border>
    <border>
      <left style="thin"/>
      <right style="thin"/>
      <top style="thin"/>
      <bottom style="thin"/>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1" pivotButton="0" quotePrefix="0" xfId="0"/>
    <xf numFmtId="0" fontId="4" fillId="0" borderId="1" applyAlignment="1" pivotButton="0" quotePrefix="0" xfId="0">
      <alignment vertical="top" wrapText="1"/>
    </xf>
    <xf numFmtId="0" fontId="5" fillId="2" borderId="1" pivotButton="0" quotePrefix="0" xfId="0"/>
    <xf numFmtId="0" fontId="4" fillId="0" borderId="1" pivotButton="0" quotePrefix="0" xfId="0"/>
    <xf numFmtId="0" fontId="5" fillId="2" borderId="1" applyAlignment="1" pivotButton="0" quotePrefix="0" xfId="0">
      <alignment horizontal="center" vertical="top" wrapText="1"/>
    </xf>
    <xf numFmtId="0" fontId="6" fillId="3" borderId="1" pivotButton="0" quotePrefix="0" xfId="0"/>
    <xf numFmtId="0" fontId="0" fillId="3" borderId="1" pivotButton="0" quotePrefix="0" xfId="0"/>
    <xf numFmtId="0" fontId="7" fillId="0" borderId="1" applyAlignment="1" pivotButton="0" quotePrefix="0" xfId="0">
      <alignment vertical="top" wrapText="1"/>
    </xf>
    <xf numFmtId="0" fontId="0" fillId="0" borderId="1" pivotButton="0" quotePrefix="0" xfId="0"/>
    <xf numFmtId="0" fontId="3" fillId="4" borderId="1" applyAlignment="1" pivotButton="0" quotePrefix="0" xfId="0">
      <alignment vertical="top" wrapText="1"/>
    </xf>
    <xf numFmtId="0" fontId="3" fillId="5" borderId="1" applyAlignment="1" pivotButton="0" quotePrefix="0" xfId="0">
      <alignment vertical="top" wrapText="1"/>
    </xf>
    <xf numFmtId="0" fontId="7" fillId="0" borderId="0" applyAlignment="1" pivotButton="0" quotePrefix="0" xfId="0">
      <alignment vertical="top" wrapText="1"/>
    </xf>
    <xf numFmtId="0" fontId="4" fillId="6" borderId="1" pivotButton="0" quotePrefix="0" xfId="0"/>
    <xf numFmtId="0" fontId="4" fillId="7" borderId="1" pivotButton="0" quotePrefix="0" xfId="0"/>
    <xf numFmtId="0" fontId="4" fillId="8" borderId="1" pivotButton="0" quotePrefix="0" xfId="0"/>
    <xf numFmtId="0" fontId="4" fillId="9" borderId="1" pivotButton="0" quotePrefix="0" xfId="0"/>
    <xf numFmtId="164" fontId="4" fillId="0" borderId="1" pivotButton="0" quotePrefix="0" xfId="0"/>
    <xf numFmtId="0" fontId="7"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6"/>
  <sheetViews>
    <sheetView workbookViewId="0">
      <selection activeCell="A1" sqref="A1"/>
    </sheetView>
  </sheetViews>
  <sheetFormatPr baseColWidth="8" defaultRowHeight="15"/>
  <cols>
    <col width="25" customWidth="1" min="1" max="1"/>
    <col width="6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c r="A1" s="1" t="inlineStr">
        <is>
          <t>INDEPENDENT ASSESSMENT — METHODOLOGY &amp; APPROACH</t>
        </is>
      </c>
    </row>
    <row r="2">
      <c r="A2" s="2" t="inlineStr">
        <is>
          <t>BNM RMiT IESP — Data Centre Resilience Assessment (DCRA)</t>
        </is>
      </c>
    </row>
    <row r="4">
      <c r="A4" s="2" t="inlineStr">
        <is>
          <t>ENGAGEMENT DETAILS</t>
        </is>
      </c>
    </row>
    <row r="5">
      <c r="A5" s="3" t="inlineStr">
        <is>
          <t>Entity Name:</t>
        </is>
      </c>
      <c r="B5" s="4" t="inlineStr">
        <is>
          <t>[Entity Name]</t>
        </is>
      </c>
    </row>
    <row r="6">
      <c r="A6" s="3" t="inlineStr">
        <is>
          <t>Engagement Type:</t>
        </is>
      </c>
      <c r="B6" s="4" t="inlineStr">
        <is>
          <t>Data Centre Resilience Assessment (DCRA)</t>
        </is>
      </c>
    </row>
    <row r="7">
      <c r="A7" s="3" t="inlineStr">
        <is>
          <t>Regulatory Basis:</t>
        </is>
      </c>
      <c r="B7" s="4" t="inlineStr">
        <is>
          <t>Paragraph 14.1, mapped to paragraphs 10.24 to 10.28</t>
        </is>
      </c>
    </row>
    <row r="8">
      <c r="A8" s="3" t="inlineStr">
        <is>
          <t>Assessment Date:</t>
        </is>
      </c>
      <c r="B8" s="4" t="inlineStr">
        <is>
          <t>[DD/MM/YYYY]</t>
        </is>
      </c>
    </row>
    <row r="9">
      <c r="A9" s="3" t="inlineStr">
        <is>
          <t>Assessment Period:</t>
        </is>
      </c>
      <c r="B9" s="4" t="inlineStr">
        <is>
          <t>[Start Date] to [End Date]</t>
        </is>
      </c>
    </row>
    <row r="10">
      <c r="A10" s="3" t="inlineStr">
        <is>
          <t>Lead Assessor:</t>
        </is>
      </c>
      <c r="B10" s="4" t="inlineStr">
        <is>
          <t>[Name, Qualification]</t>
        </is>
      </c>
    </row>
    <row r="11">
      <c r="A11" s="3" t="inlineStr">
        <is>
          <t>Engagement Reference:</t>
        </is>
      </c>
      <c r="B11" s="4" t="inlineStr">
        <is>
          <t>[Ref Number]</t>
        </is>
      </c>
    </row>
    <row r="12">
      <c r="A12" s="3" t="inlineStr">
        <is>
          <t>Report Classification:</t>
        </is>
      </c>
      <c r="B12" s="4" t="inlineStr">
        <is>
          <t>Confidential (Sulit)</t>
        </is>
      </c>
    </row>
    <row r="14">
      <c r="A14" s="2" t="inlineStr">
        <is>
          <t>SCOPE OF ASSESSMENT</t>
        </is>
      </c>
    </row>
    <row r="15">
      <c r="A15" s="5" t="inlineStr">
        <is>
          <t>This assessment is conducted pursuant to BNM RMiT (BNM/RH/PD 028-98, 28 Nov 2025), Paragraph 14.1.</t>
        </is>
      </c>
    </row>
    <row r="16">
      <c r="A16" s="5" t="inlineStr">
        <is>
          <t>Assessment covers: (1) DCRA — DC resilience, redundancy, physical security, operations, segregation (10.24-10.28, 5 domains), (2) Appendix 7 Part D — Minimum Controls.</t>
        </is>
      </c>
    </row>
    <row r="18">
      <c r="A18" s="2" t="inlineStr">
        <is>
          <t>ENGAGEMENT MODE</t>
        </is>
      </c>
    </row>
    <row r="19">
      <c r="A19" s="3" t="inlineStr">
        <is>
          <t>Design Adequacy (Pre-Implementation):</t>
        </is>
      </c>
    </row>
    <row r="20">
      <c r="A20" s="5" t="inlineStr">
        <is>
          <t>Assess whether proposed/planned controls are designed to meet the requirement. Evidence is primarily documentary: architecture designs, policies, vendor assessments, staging test results.</t>
        </is>
      </c>
    </row>
    <row r="21">
      <c r="A21" s="3" t="inlineStr">
        <is>
          <t>Operating Effectiveness (Independent Attestation):</t>
        </is>
      </c>
    </row>
    <row r="22">
      <c r="A22" s="5" t="inlineStr">
        <is>
          <t>Assess whether controls operated effectively during the assessment period. Evidence is observation, sampling, re-performance, system-generated logs. Requires defined sampling methodology.</t>
        </is>
      </c>
    </row>
    <row r="24">
      <c r="A24" s="2" t="inlineStr">
        <is>
          <t>ASSESSMENT LEVELS</t>
        </is>
      </c>
    </row>
    <row r="25">
      <c r="A25" s="3" t="inlineStr">
        <is>
          <t>ORG</t>
        </is>
      </c>
      <c r="B25" s="5" t="inlineStr">
        <is>
          <t>Organisation-level. Assessed once per engagement (policies, governance, frameworks).</t>
        </is>
      </c>
    </row>
    <row r="26">
      <c r="A26" s="3" t="inlineStr">
        <is>
          <t>PLATFORM</t>
        </is>
      </c>
      <c r="B26" s="5" t="inlineStr">
        <is>
          <t>Platform/CSP-level. Assessed per platform in scope (configurations, controls per CSP).</t>
        </is>
      </c>
    </row>
    <row r="27">
      <c r="A27" s="3" t="inlineStr">
        <is>
          <t>WORKLOAD</t>
        </is>
      </c>
      <c r="B27" s="5" t="inlineStr">
        <is>
          <t>System/application-level. Assessed per critical system using sampling.</t>
        </is>
      </c>
    </row>
    <row r="29">
      <c r="A29" s="2" t="inlineStr">
        <is>
          <t>ASSESSMENT METHODS</t>
        </is>
      </c>
    </row>
    <row r="30">
      <c r="A30" s="3" t="inlineStr">
        <is>
          <t>Inspection</t>
        </is>
      </c>
      <c r="B30" s="5" t="inlineStr">
        <is>
          <t>Examination of documents, records, policies, configurations, and tangible evidence.</t>
        </is>
      </c>
    </row>
    <row r="31">
      <c r="A31" s="3" t="inlineStr">
        <is>
          <t>Inquiry</t>
        </is>
      </c>
      <c r="B31" s="5" t="inlineStr">
        <is>
          <t>Interviews with management, process owners, and staff.</t>
        </is>
      </c>
    </row>
    <row r="32">
      <c r="A32" s="3" t="inlineStr">
        <is>
          <t>Observation</t>
        </is>
      </c>
      <c r="B32" s="5" t="inlineStr">
        <is>
          <t>Direct observation of processes, systems, and activities.</t>
        </is>
      </c>
    </row>
    <row r="33">
      <c r="A33" s="3" t="inlineStr">
        <is>
          <t>Confirmation</t>
        </is>
      </c>
      <c r="B33" s="5" t="inlineStr">
        <is>
          <t>Verification with external or independent parties.</t>
        </is>
      </c>
    </row>
    <row r="34">
      <c r="A34" s="3" t="inlineStr">
        <is>
          <t>Re-performance</t>
        </is>
      </c>
      <c r="B34" s="5" t="inlineStr">
        <is>
          <t>IESP independently re-performs the control procedure.</t>
        </is>
      </c>
    </row>
    <row r="36">
      <c r="A36" s="2" t="inlineStr">
        <is>
          <t>CONCLUSION SCALE</t>
        </is>
      </c>
    </row>
    <row r="37">
      <c r="A37" s="3" t="inlineStr">
        <is>
          <t>Compliant</t>
        </is>
      </c>
      <c r="B37" s="5" t="inlineStr">
        <is>
          <t>Control fully implemented and operating effectively. Evidence supports regulatory criteria are met.</t>
        </is>
      </c>
    </row>
    <row r="38">
      <c r="A38" s="3" t="inlineStr">
        <is>
          <t>Partially Compliant</t>
        </is>
      </c>
      <c r="B38" s="5" t="inlineStr">
        <is>
          <t>Implemented but with gaps in scope, coverage, documentation, or effectiveness.</t>
        </is>
      </c>
    </row>
    <row r="39">
      <c r="A39" s="3" t="inlineStr">
        <is>
          <t>Non-Compliant</t>
        </is>
      </c>
      <c r="B39" s="5" t="inlineStr">
        <is>
          <t>Absent, fundamentally deficient, or not operating. Regulatory criteria not met.</t>
        </is>
      </c>
    </row>
    <row r="40">
      <c r="A40" s="3" t="inlineStr">
        <is>
          <t>N/A</t>
        </is>
      </c>
      <c r="B40" s="5" t="inlineStr">
        <is>
          <t>Not applicable to entity's operations. Justification documented.</t>
        </is>
      </c>
    </row>
    <row r="42">
      <c r="A42" s="2" t="inlineStr">
        <is>
          <t>EVIDENCE HIERARCHY (prefer higher-ranked)</t>
        </is>
      </c>
    </row>
    <row r="43">
      <c r="A43" s="3" t="inlineStr">
        <is>
          <t>Rank 1</t>
        </is>
      </c>
      <c r="B43" s="4" t="inlineStr">
        <is>
          <t>Direct observation — IESP directly observes control in operation</t>
        </is>
      </c>
    </row>
    <row r="44">
      <c r="A44" s="3" t="inlineStr">
        <is>
          <t>Rank 2</t>
        </is>
      </c>
      <c r="B44" s="4" t="inlineStr">
        <is>
          <t>Independent confirmation — Third-party evidence (SOC 2, certifications)</t>
        </is>
      </c>
    </row>
    <row r="45">
      <c r="A45" s="3" t="inlineStr">
        <is>
          <t>Rank 3</t>
        </is>
      </c>
      <c r="B45" s="4" t="inlineStr">
        <is>
          <t>System-generated — Logs, configurations without manual intervention</t>
        </is>
      </c>
    </row>
    <row r="46">
      <c r="A46" s="3" t="inlineStr">
        <is>
          <t>Rank 4</t>
        </is>
      </c>
      <c r="B46" s="4" t="inlineStr">
        <is>
          <t>Re-performance — IESP re-performs control procedure</t>
        </is>
      </c>
    </row>
    <row r="47">
      <c r="A47" s="3" t="inlineStr">
        <is>
          <t>Rank 5</t>
        </is>
      </c>
      <c r="B47" s="4" t="inlineStr">
        <is>
          <t>Documentary — Policies, procedures, meeting minutes</t>
        </is>
      </c>
    </row>
    <row r="48">
      <c r="A48" s="3" t="inlineStr">
        <is>
          <t>Rank 6</t>
        </is>
      </c>
      <c r="B48" s="4" t="inlineStr">
        <is>
          <t>Inquiry — Verbal representations from FI personnel</t>
        </is>
      </c>
    </row>
    <row r="50">
      <c r="A50" s="2" t="inlineStr">
        <is>
          <t>SAMPLING METHODOLOGY</t>
        </is>
      </c>
    </row>
    <row r="51">
      <c r="A51" s="3" t="inlineStr">
        <is>
          <t>Sampling Approach:</t>
        </is>
      </c>
      <c r="B51" s="5" t="inlineStr">
        <is>
          <t>Judgmental (not statistical) — appropriate for limited assurance engagements under BNM RMiT. Sample sizes are based on population size and control risk tier.</t>
        </is>
      </c>
    </row>
    <row r="53">
      <c r="A53" s="3" t="inlineStr">
        <is>
          <t>Sample Size Table:</t>
        </is>
      </c>
    </row>
    <row r="54">
      <c r="A54" s="6" t="inlineStr">
        <is>
          <t>Population Size</t>
        </is>
      </c>
      <c r="B54" s="6" t="inlineStr">
        <is>
          <t>Standard Risk</t>
        </is>
      </c>
      <c r="C54" s="6" t="inlineStr">
        <is>
          <t>High Risk</t>
        </is>
      </c>
      <c r="D54" s="6" t="inlineStr">
        <is>
          <t>Rationale</t>
        </is>
      </c>
    </row>
    <row r="55">
      <c r="A55" s="7" t="inlineStr">
        <is>
          <t>1-5</t>
        </is>
      </c>
      <c r="B55" s="7" t="inlineStr">
        <is>
          <t>All</t>
        </is>
      </c>
      <c r="C55" s="7" t="inlineStr">
        <is>
          <t>All</t>
        </is>
      </c>
      <c r="D55" s="7" t="inlineStr">
        <is>
          <t>Full coverage feasible</t>
        </is>
      </c>
    </row>
    <row r="56">
      <c r="A56" s="7" t="inlineStr">
        <is>
          <t>6-15</t>
        </is>
      </c>
      <c r="B56" s="7" t="inlineStr">
        <is>
          <t>3</t>
        </is>
      </c>
      <c r="C56" s="7" t="inlineStr">
        <is>
          <t>5</t>
        </is>
      </c>
      <c r="D56" s="7" t="inlineStr">
        <is>
          <t>~25-40% coverage</t>
        </is>
      </c>
    </row>
    <row r="57">
      <c r="A57" s="7" t="inlineStr">
        <is>
          <t>16-50</t>
        </is>
      </c>
      <c r="B57" s="7" t="inlineStr">
        <is>
          <t>5</t>
        </is>
      </c>
      <c r="C57" s="7" t="inlineStr">
        <is>
          <t>8</t>
        </is>
      </c>
      <c r="D57" s="7" t="inlineStr">
        <is>
          <t>Sufficient for pattern detection</t>
        </is>
      </c>
    </row>
    <row r="58">
      <c r="A58" s="7" t="inlineStr">
        <is>
          <t>51-100</t>
        </is>
      </c>
      <c r="B58" s="7" t="inlineStr">
        <is>
          <t>8</t>
        </is>
      </c>
      <c r="C58" s="7" t="inlineStr">
        <is>
          <t>12</t>
        </is>
      </c>
      <c r="D58" s="7" t="inlineStr">
        <is>
          <t>Diminishing returns beyond this</t>
        </is>
      </c>
    </row>
    <row r="59">
      <c r="A59" s="7" t="inlineStr">
        <is>
          <t>100+</t>
        </is>
      </c>
      <c r="B59" s="7" t="inlineStr">
        <is>
          <t>10</t>
        </is>
      </c>
      <c r="C59" s="7" t="inlineStr">
        <is>
          <t>15</t>
        </is>
      </c>
      <c r="D59" s="7" t="inlineStr">
        <is>
          <t>Cap with stratification</t>
        </is>
      </c>
    </row>
    <row r="61">
      <c r="A61" s="3" t="inlineStr">
        <is>
          <t>Time-Based Evidence Coverage:</t>
        </is>
      </c>
    </row>
    <row r="62">
      <c r="A62" s="6" t="inlineStr">
        <is>
          <t>Evidence Type</t>
        </is>
      </c>
      <c r="B62" s="6" t="inlineStr">
        <is>
          <t>Coverage Period</t>
        </is>
      </c>
      <c r="C62" s="6" t="inlineStr">
        <is>
          <t>Rationale</t>
        </is>
      </c>
    </row>
    <row r="63">
      <c r="A63" s="7" t="inlineStr">
        <is>
          <t>Board/committee reports</t>
        </is>
      </c>
      <c r="B63" s="7" t="inlineStr">
        <is>
          <t>Last 4 quarters</t>
        </is>
      </c>
      <c r="C63" s="7" t="inlineStr">
        <is>
          <t>Full annual governance cycle</t>
        </is>
      </c>
    </row>
    <row r="64">
      <c r="A64" s="7" t="inlineStr">
        <is>
          <t>Operational records (incidents, changes, patches)</t>
        </is>
      </c>
      <c r="B64" s="7" t="inlineStr">
        <is>
          <t>Last 3-6 months</t>
        </is>
      </c>
      <c r="C64" s="7" t="inlineStr">
        <is>
          <t>Recent operating effectiveness</t>
        </is>
      </c>
    </row>
    <row r="65">
      <c r="A65" s="7" t="inlineStr">
        <is>
          <t>Annual processes (risk assessment, DR test, pen test)</t>
        </is>
      </c>
      <c r="B65" s="7" t="inlineStr">
        <is>
          <t>Last 12 months</t>
        </is>
      </c>
      <c r="C65" s="7" t="inlineStr">
        <is>
          <t>Full cycle</t>
        </is>
      </c>
    </row>
    <row r="66">
      <c r="A66" s="7" t="inlineStr">
        <is>
          <t>Continuous monitoring (SOC, logs, alerts)</t>
        </is>
      </c>
      <c r="B66" s="7" t="inlineStr">
        <is>
          <t>Last 30 days</t>
        </is>
      </c>
      <c r="C66" s="7" t="inlineStr">
        <is>
          <t>Current state verification</t>
        </is>
      </c>
    </row>
    <row r="67">
      <c r="A67" s="7" t="inlineStr">
        <is>
          <t>Policies and frameworks</t>
        </is>
      </c>
      <c r="B67" s="7" t="inlineStr">
        <is>
          <t>Current version + prior</t>
        </is>
      </c>
      <c r="C67" s="7" t="inlineStr">
        <is>
          <t>Change tracking</t>
        </is>
      </c>
    </row>
    <row r="69">
      <c r="A69" s="3" t="inlineStr">
        <is>
          <t>Control Risk Tiers:</t>
        </is>
      </c>
    </row>
    <row r="70">
      <c r="A70" s="6" t="inlineStr">
        <is>
          <t>Tier</t>
        </is>
      </c>
      <c r="B70" s="6" t="inlineStr">
        <is>
          <t>Controls</t>
        </is>
      </c>
      <c r="C70" s="6" t="inlineStr">
        <is>
          <t>Sampling Level</t>
        </is>
      </c>
    </row>
    <row r="71">
      <c r="A71" s="7" t="inlineStr">
        <is>
          <t>Critical</t>
        </is>
      </c>
      <c r="B71" s="7" t="inlineStr">
        <is>
          <t>Governance framework, SOC, incident response, regulatory notification, BCM, customer data protection</t>
        </is>
      </c>
      <c r="C71" s="7" t="inlineStr">
        <is>
          <t>High risk samples</t>
        </is>
      </c>
    </row>
    <row r="72">
      <c r="A72" s="7" t="inlineStr">
        <is>
          <t>Standard</t>
        </is>
      </c>
      <c r="B72" s="7" t="inlineStr">
        <is>
          <t>Most controls (risk assessment, vuln mgmt, vendor assessment, change mgmt, etc.)</t>
        </is>
      </c>
      <c r="C72" s="7" t="inlineStr">
        <is>
          <t>Standard risk samples</t>
        </is>
      </c>
    </row>
    <row r="73">
      <c r="A73" s="7" t="inlineStr">
        <is>
          <t>Conditional</t>
        </is>
      </c>
      <c r="B73" s="7" t="inlineStr">
        <is>
          <t>Emerging tech, specialised areas — may be N/A</t>
        </is>
      </c>
      <c r="C73" s="7" t="inlineStr">
        <is>
          <t>Standard if applicable</t>
        </is>
      </c>
    </row>
    <row r="75">
      <c r="A75" s="2" t="inlineStr">
        <is>
          <t>LIMITATIONS</t>
        </is>
      </c>
    </row>
    <row r="76">
      <c r="A76" s="5" t="inlineStr">
        <is>
          <t>1. Limited assurance engagement — conclusions based on procedures performed, not absolute assurance.</t>
        </is>
      </c>
    </row>
    <row r="77">
      <c r="A77" s="5" t="inlineStr">
        <is>
          <t>2. Point-in-time (design adequacy) or period assessment (operating effectiveness).</t>
        </is>
      </c>
    </row>
    <row r="78">
      <c r="A78" s="5" t="inlineStr">
        <is>
          <t>3. Reliance on management representations and documentation provided.</t>
        </is>
      </c>
    </row>
    <row r="79">
      <c r="A79" s="5" t="inlineStr">
        <is>
          <t>4. Scope guided by BNM RMiT (BNM/RH/PD 028-98, 28 Nov 2025).</t>
        </is>
      </c>
    </row>
    <row r="80">
      <c r="A80" s="5" t="inlineStr">
        <is>
          <t>5. Does not constitute legal or regulatory advice.</t>
        </is>
      </c>
    </row>
    <row r="81">
      <c r="A81" s="5" t="inlineStr">
        <is>
          <t>6. The IESP remains solely responsible for the sufficiency of work performed.</t>
        </is>
      </c>
    </row>
    <row r="83">
      <c r="A83" s="2" t="inlineStr">
        <is>
          <t>SIGN-OFF</t>
        </is>
      </c>
    </row>
    <row r="84">
      <c r="A84" s="3" t="inlineStr">
        <is>
          <t>Lead Assessor:</t>
        </is>
      </c>
      <c r="B84" s="4" t="inlineStr">
        <is>
          <t>________________________</t>
        </is>
      </c>
      <c r="F84" s="3" t="inlineStr">
        <is>
          <t>Date:</t>
        </is>
      </c>
      <c r="G84" s="4" t="inlineStr">
        <is>
          <t>______________</t>
        </is>
      </c>
    </row>
    <row r="85">
      <c r="A85" s="3" t="inlineStr">
        <is>
          <t>Quality Reviewer:</t>
        </is>
      </c>
      <c r="B85" s="4" t="inlineStr">
        <is>
          <t>________________________</t>
        </is>
      </c>
      <c r="F85" s="3" t="inlineStr">
        <is>
          <t>Date:</t>
        </is>
      </c>
      <c r="G85" s="4" t="inlineStr">
        <is>
          <t>______________</t>
        </is>
      </c>
    </row>
    <row r="86">
      <c r="A86" s="3" t="inlineStr">
        <is>
          <t>Entity Representative:</t>
        </is>
      </c>
      <c r="B86" s="4" t="inlineStr">
        <is>
          <t>________________________</t>
        </is>
      </c>
      <c r="F86" s="3" t="inlineStr">
        <is>
          <t>Date:</t>
        </is>
      </c>
      <c r="G86" s="4" t="inlineStr">
        <is>
          <t>______________</t>
        </is>
      </c>
    </row>
  </sheetData>
  <mergeCells count="25">
    <mergeCell ref="A77:N77"/>
    <mergeCell ref="A83:N83"/>
    <mergeCell ref="A24:N24"/>
    <mergeCell ref="A15:N15"/>
    <mergeCell ref="B51:N51"/>
    <mergeCell ref="A36:N36"/>
    <mergeCell ref="A1:N1"/>
    <mergeCell ref="A79:N79"/>
    <mergeCell ref="A78:N78"/>
    <mergeCell ref="A16:N16"/>
    <mergeCell ref="A75:N75"/>
    <mergeCell ref="A80:N80"/>
    <mergeCell ref="A18:N18"/>
    <mergeCell ref="A50:N50"/>
    <mergeCell ref="A21:N21"/>
    <mergeCell ref="A2:N2"/>
    <mergeCell ref="A76:N76"/>
    <mergeCell ref="A42:N42"/>
    <mergeCell ref="A14:N14"/>
    <mergeCell ref="A22:N22"/>
    <mergeCell ref="A4:N4"/>
    <mergeCell ref="A20:N20"/>
    <mergeCell ref="A29:N29"/>
    <mergeCell ref="A81:N81"/>
    <mergeCell ref="A19:N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6" customWidth="1" min="1" max="1"/>
    <col width="30" customWidth="1" min="2" max="2"/>
    <col width="40" customWidth="1" min="3" max="3"/>
    <col width="20" customWidth="1" min="4" max="4"/>
    <col width="30" customWidth="1" min="5" max="5"/>
    <col width="20" customWidth="1" min="6" max="6"/>
  </cols>
  <sheetData>
    <row r="1">
      <c r="A1" s="1" t="inlineStr">
        <is>
          <t>ENGAGEMENT SCOPING — BNM RMiT IESP — Data Centre Resilience Assessment (DCRA)</t>
        </is>
      </c>
    </row>
    <row r="3">
      <c r="A3" s="2" t="inlineStr">
        <is>
          <t>ASSESSMENT LEVELS</t>
        </is>
      </c>
    </row>
    <row r="4">
      <c r="A4" s="3" t="inlineStr">
        <is>
          <t>ORG</t>
        </is>
      </c>
      <c r="B4" s="5" t="inlineStr">
        <is>
          <t>Organisation / Enterprise level. Assessed ONCE per engagement. Policies, frameworks, governance structures that apply across all platforms and systems.</t>
        </is>
      </c>
    </row>
    <row r="5">
      <c r="A5" s="3" t="inlineStr">
        <is>
          <t>PLATFORM</t>
        </is>
      </c>
      <c r="B5" s="5" t="inlineStr">
        <is>
          <t>Platform / CSP level. Assessed PER PLATFORM in scope. If the FI uses AWS and Azure, repeat these test steps for each. Covers platform-specific configurations and controls.</t>
        </is>
      </c>
    </row>
    <row r="6">
      <c r="A6" s="3" t="inlineStr">
        <is>
          <t>WORKLOAD</t>
        </is>
      </c>
      <c r="B6" s="5" t="inlineStr">
        <is>
          <t>Workload / Application / System level. Assessed PER CRITICAL SYSTEM in scope using sampling. Covers system-specific deployments, configurations, and arrangements.</t>
        </is>
      </c>
    </row>
    <row r="8">
      <c r="A8" s="2" t="inlineStr">
        <is>
          <t>PLATFORMS / CSPs IN SCOPE</t>
        </is>
      </c>
    </row>
    <row r="9">
      <c r="A9" s="8" t="inlineStr">
        <is>
          <t>#</t>
        </is>
      </c>
      <c r="B9" s="8" t="inlineStr">
        <is>
          <t>Platform / CSP</t>
        </is>
      </c>
      <c r="C9" s="8" t="inlineStr">
        <is>
          <t>Service Models (IaaS/PaaS/SaaS)</t>
        </is>
      </c>
      <c r="D9" s="8" t="inlineStr">
        <is>
          <t>Regions</t>
        </is>
      </c>
      <c r="E9" s="8" t="inlineStr">
        <is>
          <t>Contract Ref</t>
        </is>
      </c>
      <c r="F9" s="8" t="inlineStr">
        <is>
          <t>Notes</t>
        </is>
      </c>
    </row>
    <row r="10">
      <c r="A10" s="9" t="inlineStr">
        <is>
          <t>1</t>
        </is>
      </c>
      <c r="B10" s="9" t="inlineStr"/>
      <c r="C10" s="9" t="inlineStr"/>
      <c r="D10" s="9" t="inlineStr"/>
      <c r="E10" s="9" t="inlineStr"/>
      <c r="F10" s="9" t="inlineStr"/>
    </row>
    <row r="11">
      <c r="A11" s="9" t="inlineStr">
        <is>
          <t>2</t>
        </is>
      </c>
      <c r="B11" s="9" t="inlineStr"/>
      <c r="C11" s="9" t="inlineStr"/>
      <c r="D11" s="9" t="inlineStr"/>
      <c r="E11" s="9" t="inlineStr"/>
      <c r="F11" s="9" t="inlineStr"/>
    </row>
    <row r="12">
      <c r="A12" s="9" t="inlineStr">
        <is>
          <t>3</t>
        </is>
      </c>
      <c r="B12" s="9" t="inlineStr"/>
      <c r="C12" s="9" t="inlineStr"/>
      <c r="D12" s="9" t="inlineStr"/>
      <c r="E12" s="9" t="inlineStr"/>
      <c r="F12" s="9" t="inlineStr"/>
    </row>
    <row r="13">
      <c r="A13" s="9" t="inlineStr">
        <is>
          <t>4</t>
        </is>
      </c>
      <c r="B13" s="9" t="inlineStr"/>
      <c r="C13" s="9" t="inlineStr"/>
      <c r="D13" s="9" t="inlineStr"/>
      <c r="E13" s="9" t="inlineStr"/>
      <c r="F13" s="9" t="inlineStr"/>
    </row>
    <row r="14">
      <c r="A14" s="9" t="inlineStr">
        <is>
          <t>5</t>
        </is>
      </c>
      <c r="B14" s="9" t="inlineStr"/>
      <c r="C14" s="9" t="inlineStr"/>
      <c r="D14" s="9" t="inlineStr"/>
      <c r="E14" s="9" t="inlineStr"/>
      <c r="F14" s="9" t="inlineStr"/>
    </row>
    <row r="16">
      <c r="A16" s="2" t="inlineStr">
        <is>
          <t>CRITICAL SYSTEMS / WORKLOADS IN SCOPE</t>
        </is>
      </c>
    </row>
    <row r="17">
      <c r="A17" s="8" t="inlineStr">
        <is>
          <t>#</t>
        </is>
      </c>
      <c r="B17" s="8" t="inlineStr">
        <is>
          <t>System / Application Name</t>
        </is>
      </c>
      <c r="C17" s="8" t="inlineStr">
        <is>
          <t>Platform</t>
        </is>
      </c>
      <c r="D17" s="8" t="inlineStr">
        <is>
          <t>Criticality</t>
        </is>
      </c>
      <c r="E17" s="8" t="inlineStr">
        <is>
          <t>Data Classification</t>
        </is>
      </c>
      <c r="F17" s="8" t="inlineStr">
        <is>
          <t>Notes</t>
        </is>
      </c>
    </row>
    <row r="18">
      <c r="A18" s="9" t="inlineStr">
        <is>
          <t>1</t>
        </is>
      </c>
      <c r="B18" s="9" t="inlineStr"/>
      <c r="C18" s="9" t="inlineStr"/>
      <c r="D18" s="9" t="inlineStr"/>
      <c r="E18" s="9" t="inlineStr"/>
      <c r="F18" s="9" t="inlineStr"/>
    </row>
    <row r="19">
      <c r="A19" s="9" t="inlineStr">
        <is>
          <t>2</t>
        </is>
      </c>
      <c r="B19" s="9" t="inlineStr"/>
      <c r="C19" s="9" t="inlineStr"/>
      <c r="D19" s="9" t="inlineStr"/>
      <c r="E19" s="9" t="inlineStr"/>
      <c r="F19" s="9" t="inlineStr"/>
    </row>
    <row r="20">
      <c r="A20" s="9" t="inlineStr">
        <is>
          <t>3</t>
        </is>
      </c>
      <c r="B20" s="9" t="inlineStr"/>
      <c r="C20" s="9" t="inlineStr"/>
      <c r="D20" s="9" t="inlineStr"/>
      <c r="E20" s="9" t="inlineStr"/>
      <c r="F20" s="9" t="inlineStr"/>
    </row>
    <row r="21">
      <c r="A21" s="9" t="inlineStr">
        <is>
          <t>4</t>
        </is>
      </c>
      <c r="B21" s="9" t="inlineStr"/>
      <c r="C21" s="9" t="inlineStr"/>
      <c r="D21" s="9" t="inlineStr"/>
      <c r="E21" s="9" t="inlineStr"/>
      <c r="F21" s="9" t="inlineStr"/>
    </row>
    <row r="22">
      <c r="A22" s="9" t="inlineStr">
        <is>
          <t>5</t>
        </is>
      </c>
      <c r="B22" s="9" t="inlineStr"/>
      <c r="C22" s="9" t="inlineStr"/>
      <c r="D22" s="9" t="inlineStr"/>
      <c r="E22" s="9" t="inlineStr"/>
      <c r="F22" s="9" t="inlineStr"/>
    </row>
    <row r="23">
      <c r="A23" s="9" t="inlineStr">
        <is>
          <t>6</t>
        </is>
      </c>
      <c r="B23" s="9" t="inlineStr"/>
      <c r="C23" s="9" t="inlineStr"/>
      <c r="D23" s="9" t="inlineStr"/>
      <c r="E23" s="9" t="inlineStr"/>
      <c r="F23" s="9" t="inlineStr"/>
    </row>
    <row r="24">
      <c r="A24" s="9" t="inlineStr">
        <is>
          <t>7</t>
        </is>
      </c>
      <c r="B24" s="9" t="inlineStr"/>
      <c r="C24" s="9" t="inlineStr"/>
      <c r="D24" s="9" t="inlineStr"/>
      <c r="E24" s="9" t="inlineStr"/>
      <c r="F24" s="9" t="inlineStr"/>
    </row>
    <row r="25">
      <c r="A25" s="9" t="inlineStr">
        <is>
          <t>8</t>
        </is>
      </c>
      <c r="B25" s="9" t="inlineStr"/>
      <c r="C25" s="9" t="inlineStr"/>
      <c r="D25" s="9" t="inlineStr"/>
      <c r="E25" s="9" t="inlineStr"/>
      <c r="F25" s="9" t="inlineStr"/>
    </row>
    <row r="26">
      <c r="A26" s="9" t="inlineStr">
        <is>
          <t>9</t>
        </is>
      </c>
      <c r="B26" s="9" t="inlineStr"/>
      <c r="C26" s="9" t="inlineStr"/>
      <c r="D26" s="9" t="inlineStr"/>
      <c r="E26" s="9" t="inlineStr"/>
      <c r="F26" s="9" t="inlineStr"/>
    </row>
    <row r="27">
      <c r="A27" s="9" t="inlineStr">
        <is>
          <t>10</t>
        </is>
      </c>
      <c r="B27" s="9" t="inlineStr"/>
      <c r="C27" s="9" t="inlineStr"/>
      <c r="D27" s="9" t="inlineStr"/>
      <c r="E27" s="9" t="inlineStr"/>
      <c r="F27" s="9" t="inlineStr"/>
    </row>
    <row r="29">
      <c r="A29" s="2" t="inlineStr">
        <is>
          <t>SAMPLING APPROACH</t>
        </is>
      </c>
    </row>
    <row r="30">
      <c r="A30" s="3" t="inlineStr">
        <is>
          <t>Assessment Period:</t>
        </is>
      </c>
      <c r="B30" s="4" t="inlineStr">
        <is>
          <t>[Start Date] to [End Date]</t>
        </is>
      </c>
    </row>
    <row r="31">
      <c r="A31" s="3" t="inlineStr">
        <is>
          <t>User Access Samples:</t>
        </is>
      </c>
      <c r="B31" s="4" t="inlineStr">
        <is>
          <t>[e.g., 20 user accounts, 10 leavers/transfers]</t>
        </is>
      </c>
    </row>
    <row r="32">
      <c r="A32" s="3" t="inlineStr">
        <is>
          <t>Change Management Samples:</t>
        </is>
      </c>
      <c r="B32" s="4" t="inlineStr">
        <is>
          <t>[e.g., 10 recent changes]</t>
        </is>
      </c>
    </row>
    <row r="33">
      <c r="A33" s="3" t="inlineStr">
        <is>
          <t>Incident Samples:</t>
        </is>
      </c>
      <c r="B33" s="4" t="inlineStr">
        <is>
          <t>[e.g., 15 SOC alerts, all significant incidents in period]</t>
        </is>
      </c>
    </row>
    <row r="34">
      <c r="A34" s="3" t="inlineStr">
        <is>
          <t>Firewall Rule Samples:</t>
        </is>
      </c>
      <c r="B34" s="4" t="inlineStr">
        <is>
          <t>[e.g., 20 rules]</t>
        </is>
      </c>
    </row>
    <row r="35">
      <c r="A35" s="3" t="inlineStr">
        <is>
          <t>Configuration Samples:</t>
        </is>
      </c>
      <c r="B35" s="4" t="inlineStr">
        <is>
          <t>[e.g., 10 network devices]</t>
        </is>
      </c>
    </row>
  </sheetData>
  <mergeCells count="14">
    <mergeCell ref="B4:F4"/>
    <mergeCell ref="A16:F16"/>
    <mergeCell ref="B30:F30"/>
    <mergeCell ref="B6:F6"/>
    <mergeCell ref="B32:F32"/>
    <mergeCell ref="B34:F34"/>
    <mergeCell ref="B33:F33"/>
    <mergeCell ref="A1:F1"/>
    <mergeCell ref="B5:F5"/>
    <mergeCell ref="A8:F8"/>
    <mergeCell ref="B31:F31"/>
    <mergeCell ref="A3:F3"/>
    <mergeCell ref="A29:F29"/>
    <mergeCell ref="B35:F3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8" customWidth="1" min="1" max="1"/>
    <col width="50" customWidth="1" min="2" max="2"/>
    <col width="20" customWidth="1" min="3" max="3"/>
    <col width="15" customWidth="1" min="4" max="4"/>
    <col width="30" customWidth="1" min="5" max="5"/>
  </cols>
  <sheetData>
    <row r="1">
      <c r="A1" s="1" t="inlineStr">
        <is>
          <t>PLANNING AND SCOPING CHECKLIST</t>
        </is>
      </c>
    </row>
    <row r="3">
      <c r="A3" s="8" t="inlineStr">
        <is>
          <t>Step</t>
        </is>
      </c>
      <c r="B3" s="8" t="inlineStr">
        <is>
          <t>Activity</t>
        </is>
      </c>
      <c r="C3" s="8" t="inlineStr">
        <is>
          <t>Responsible</t>
        </is>
      </c>
      <c r="D3" s="8" t="inlineStr">
        <is>
          <t>Status</t>
        </is>
      </c>
      <c r="E3" s="8" t="inlineStr">
        <is>
          <t>Notes</t>
        </is>
      </c>
    </row>
    <row r="4">
      <c r="A4" s="7" t="inlineStr">
        <is>
          <t>P-01</t>
        </is>
      </c>
      <c r="B4" s="7" t="inlineStr">
        <is>
          <t>Confirm engagement trigger and regulatory basis</t>
        </is>
      </c>
      <c r="C4" s="7" t="inlineStr"/>
      <c r="D4" s="7" t="inlineStr"/>
      <c r="E4" s="7" t="inlineStr"/>
    </row>
    <row r="5">
      <c r="A5" s="7" t="inlineStr">
        <is>
          <t>P-02</t>
        </is>
      </c>
      <c r="B5" s="7" t="inlineStr">
        <is>
          <t>Issue engagement letter with scope, timeline, and deliverables</t>
        </is>
      </c>
      <c r="C5" s="7" t="inlineStr"/>
      <c r="D5" s="7" t="inlineStr"/>
      <c r="E5" s="7" t="inlineStr"/>
    </row>
    <row r="6">
      <c r="A6" s="7" t="inlineStr">
        <is>
          <t>P-03</t>
        </is>
      </c>
      <c r="B6" s="7" t="inlineStr">
        <is>
          <t>Confirm IESP team qualifications and independence (Part C compliance)</t>
        </is>
      </c>
      <c r="C6" s="7" t="inlineStr"/>
      <c r="D6" s="7" t="inlineStr"/>
      <c r="E6" s="7" t="inlineStr"/>
    </row>
    <row r="7">
      <c r="A7" s="7" t="inlineStr">
        <is>
          <t>P-04</t>
        </is>
      </c>
      <c r="B7" s="7" t="inlineStr">
        <is>
          <t>Issue Document Request List (DRL) to the FI</t>
        </is>
      </c>
      <c r="C7" s="7" t="inlineStr"/>
      <c r="D7" s="7" t="inlineStr"/>
      <c r="E7" s="7" t="inlineStr"/>
    </row>
    <row r="8">
      <c r="A8" s="7" t="inlineStr">
        <is>
          <t>P-05</t>
        </is>
      </c>
      <c r="B8" s="7" t="inlineStr">
        <is>
          <t>Obtain and review prior assessment reports and remediation status</t>
        </is>
      </c>
      <c r="C8" s="7" t="inlineStr"/>
      <c r="D8" s="7" t="inlineStr"/>
      <c r="E8" s="7" t="inlineStr"/>
    </row>
    <row r="9">
      <c r="A9" s="7" t="inlineStr">
        <is>
          <t>P-06</t>
        </is>
      </c>
      <c r="B9" s="7" t="inlineStr">
        <is>
          <t>Identify platforms/CSPs in scope and complete scoping sheet</t>
        </is>
      </c>
      <c r="C9" s="7" t="inlineStr"/>
      <c r="D9" s="7" t="inlineStr"/>
      <c r="E9" s="7" t="inlineStr"/>
    </row>
    <row r="10">
      <c r="A10" s="7" t="inlineStr">
        <is>
          <t>P-07</t>
        </is>
      </c>
      <c r="B10" s="7" t="inlineStr">
        <is>
          <t>Identify critical systems/workloads in scope</t>
        </is>
      </c>
      <c r="C10" s="7" t="inlineStr"/>
      <c r="D10" s="7" t="inlineStr"/>
      <c r="E10" s="7" t="inlineStr"/>
    </row>
    <row r="11">
      <c r="A11" s="7" t="inlineStr">
        <is>
          <t>P-08</t>
        </is>
      </c>
      <c r="B11" s="7" t="inlineStr">
        <is>
          <t>Define assessment period and sampling approach</t>
        </is>
      </c>
      <c r="C11" s="7" t="inlineStr"/>
      <c r="D11" s="7" t="inlineStr"/>
      <c r="E11" s="7" t="inlineStr"/>
    </row>
    <row r="12">
      <c r="A12" s="7" t="inlineStr">
        <is>
          <t>P-09</t>
        </is>
      </c>
      <c r="B12" s="7" t="inlineStr">
        <is>
          <t>Determine engagement mode: design adequacy (pre-impl) or operating effectiveness (attestation)</t>
        </is>
      </c>
      <c r="C12" s="7" t="inlineStr"/>
      <c r="D12" s="7" t="inlineStr"/>
      <c r="E12" s="7" t="inlineStr"/>
    </row>
    <row r="13">
      <c r="A13" s="7" t="inlineStr">
        <is>
          <t>P-10</t>
        </is>
      </c>
      <c r="B13" s="7" t="inlineStr">
        <is>
          <t>Determine if higher-risk services criteria apply (customer data, cross-border)</t>
        </is>
      </c>
      <c r="C13" s="7" t="inlineStr"/>
      <c r="D13" s="7" t="inlineStr"/>
      <c r="E13" s="7" t="inlineStr"/>
    </row>
    <row r="14">
      <c r="A14" s="7" t="inlineStr">
        <is>
          <t>P-11</t>
        </is>
      </c>
      <c r="B14" s="7" t="inlineStr">
        <is>
          <t>Schedule site visits / remote assessment sessions</t>
        </is>
      </c>
      <c r="C14" s="7" t="inlineStr"/>
      <c r="D14" s="7" t="inlineStr"/>
      <c r="E14" s="7" t="inlineStr"/>
    </row>
    <row r="15">
      <c r="A15" s="7" t="inlineStr">
        <is>
          <t>P-12</t>
        </is>
      </c>
      <c r="B15" s="7" t="inlineStr">
        <is>
          <t>Conduct kick-off meeting with FI management</t>
        </is>
      </c>
      <c r="C15" s="7" t="inlineStr"/>
      <c r="D15" s="7" t="inlineStr"/>
      <c r="E15" s="7" t="inlineStr"/>
    </row>
    <row r="16">
      <c r="A16" s="7" t="inlineStr">
        <is>
          <t>P-13</t>
        </is>
      </c>
      <c r="B16" s="7" t="inlineStr">
        <is>
          <t>Receive and catalogue DRL responses</t>
        </is>
      </c>
      <c r="C16" s="7" t="inlineStr"/>
      <c r="D16" s="7" t="inlineStr"/>
      <c r="E16" s="7" t="inlineStr"/>
    </row>
    <row r="17">
      <c r="A17" s="7" t="inlineStr">
        <is>
          <t>P-14</t>
        </is>
      </c>
      <c r="B17" s="7" t="inlineStr">
        <is>
          <t>Finalise scoping memorandum</t>
        </is>
      </c>
      <c r="C17" s="7" t="inlineStr"/>
      <c r="D17" s="7" t="inlineStr"/>
      <c r="E17" s="7" t="inlineStr"/>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5"/>
  <sheetViews>
    <sheetView workbookViewId="0">
      <selection activeCell="A1" sqref="A1"/>
    </sheetView>
  </sheetViews>
  <sheetFormatPr baseColWidth="8" defaultRowHeight="15"/>
  <cols>
    <col width="14" customWidth="1" min="1" max="1"/>
    <col width="10" customWidth="1" min="2" max="2"/>
    <col width="11" customWidth="1" min="3" max="3"/>
    <col width="22" customWidth="1" min="4" max="4"/>
    <col width="28" customWidth="1" min="5" max="5"/>
    <col width="50" customWidth="1" min="6" max="6"/>
    <col width="35" customWidth="1" min="7" max="7"/>
    <col width="14" customWidth="1" min="8" max="8"/>
    <col width="30" customWidth="1" min="9" max="9"/>
    <col width="25" customWidth="1" min="10" max="10"/>
    <col width="12" customWidth="1" min="11" max="11"/>
    <col width="30" customWidth="1" min="12" max="12"/>
    <col width="16" customWidth="1" min="13" max="13"/>
    <col width="30" customWidth="1" min="14" max="14"/>
  </cols>
  <sheetData>
    <row r="1">
      <c r="A1" s="10" t="inlineStr">
        <is>
          <t>BNM Ref</t>
        </is>
      </c>
      <c r="B1" s="10" t="inlineStr">
        <is>
          <t>Ref</t>
        </is>
      </c>
      <c r="C1" s="10" t="inlineStr">
        <is>
          <t>Level</t>
        </is>
      </c>
      <c r="D1" s="10" t="inlineStr">
        <is>
          <t>Control Domain</t>
        </is>
      </c>
      <c r="E1" s="10" t="inlineStr">
        <is>
          <t>Sub-Procedure</t>
        </is>
      </c>
      <c r="F1" s="10" t="inlineStr">
        <is>
          <t>Assessment Procedures</t>
        </is>
      </c>
      <c r="G1" s="10" t="inlineStr">
        <is>
          <t>Expected Evidence</t>
        </is>
      </c>
      <c r="H1" s="10" t="inlineStr">
        <is>
          <t>Method</t>
        </is>
      </c>
      <c r="I1" s="10" t="inlineStr">
        <is>
          <t>Procedures Performed</t>
        </is>
      </c>
      <c r="J1" s="10" t="inlineStr">
        <is>
          <t>Evidence Obtained</t>
        </is>
      </c>
      <c r="K1" s="10" t="inlineStr">
        <is>
          <t>Evidence Ref</t>
        </is>
      </c>
      <c r="L1" s="10" t="inlineStr">
        <is>
          <t>Observations</t>
        </is>
      </c>
      <c r="M1" s="10" t="inlineStr">
        <is>
          <t>Conclusion</t>
        </is>
      </c>
      <c r="N1" s="10" t="inlineStr">
        <is>
          <t>Recommendations</t>
        </is>
      </c>
    </row>
    <row r="2">
      <c r="A2" s="11" t="inlineStr">
        <is>
          <t>Domain 1 — DC Resilience and Availability Objectives (10.24)</t>
        </is>
      </c>
      <c r="B2" s="12" t="n"/>
      <c r="C2" s="12" t="n"/>
      <c r="D2" s="12" t="n"/>
      <c r="E2" s="12" t="n"/>
      <c r="F2" s="12" t="n"/>
      <c r="G2" s="12" t="n"/>
      <c r="H2" s="12" t="n"/>
      <c r="I2" s="12" t="n"/>
      <c r="J2" s="12" t="n"/>
      <c r="K2" s="12" t="n"/>
      <c r="L2" s="12" t="n"/>
      <c r="M2" s="12" t="n"/>
      <c r="N2" s="12" t="n"/>
    </row>
    <row r="3">
      <c r="A3" s="13" t="inlineStr">
        <is>
          <t>DC resilience objectives must align with business recovery requirements. Expect quantified targets (availability %, RTO, RPO) approved by committee. Misaligned objectives mean the DC cannot support business recovery.</t>
        </is>
      </c>
      <c r="B3" s="14" t="n"/>
      <c r="C3" s="14" t="n"/>
      <c r="D3" s="14" t="n"/>
      <c r="E3" s="14" t="n"/>
      <c r="F3" s="14" t="n"/>
      <c r="G3" s="14" t="n"/>
      <c r="H3" s="14" t="n"/>
      <c r="I3" s="14" t="n"/>
      <c r="J3" s="14" t="n"/>
      <c r="K3" s="14" t="n"/>
      <c r="L3" s="14" t="n"/>
      <c r="M3" s="14" t="n"/>
      <c r="N3" s="14" t="n"/>
    </row>
    <row r="4">
      <c r="A4" s="15" t="inlineStr">
        <is>
          <t>10.24</t>
        </is>
      </c>
      <c r="B4" s="15" t="inlineStr">
        <is>
          <t>DCRA-01</t>
        </is>
      </c>
      <c r="C4" s="15" t="inlineStr">
        <is>
          <t>ORG</t>
        </is>
      </c>
      <c r="D4" s="15" t="inlineStr">
        <is>
          <t>DC Resilience Objectives</t>
        </is>
      </c>
      <c r="E4" s="15" t="inlineStr">
        <is>
          <t>Resilience targets aligned with business recovery requirements</t>
        </is>
      </c>
      <c r="F4" s="15" t="inlineStr"/>
      <c r="G4" s="15" t="inlineStr"/>
      <c r="H4" s="15" t="inlineStr"/>
      <c r="I4" s="15" t="inlineStr"/>
      <c r="J4" s="15" t="inlineStr"/>
      <c r="K4" s="15" t="inlineStr"/>
      <c r="L4" s="15" t="inlineStr"/>
      <c r="M4" s="16" t="inlineStr"/>
      <c r="N4" s="16" t="inlineStr"/>
    </row>
    <row r="5">
      <c r="A5" s="7" t="inlineStr">
        <is>
          <t>10.24</t>
        </is>
      </c>
      <c r="B5" s="7" t="inlineStr">
        <is>
          <t>DCRA-01.1</t>
        </is>
      </c>
      <c r="C5" s="7" t="inlineStr"/>
      <c r="D5" s="7" t="inlineStr"/>
      <c r="E5" s="7" t="inlineStr">
        <is>
          <t>Objectives alignment and quantified targets</t>
        </is>
      </c>
      <c r="F5" s="7" t="inlineStr">
        <is>
          <t>1. Obtain DC resilience strategy.
2. Extract resilience targets (availability %, RTO, RPO).
3. Compare against approved business recovery objectives.
4. Check targets approved by appropriate committee.
5. Verify periodic review (annual or upon material change).</t>
        </is>
      </c>
      <c r="G5" s="7" t="inlineStr">
        <is>
          <t>DC resilience strategy; Business recovery objectives matrix; Committee approval minutes; Review records</t>
        </is>
      </c>
      <c r="H5" s="7" t="inlineStr">
        <is>
          <t>Inspection</t>
        </is>
      </c>
      <c r="I5" s="7" t="inlineStr"/>
      <c r="J5" s="7" t="inlineStr"/>
      <c r="K5" s="7" t="inlineStr"/>
      <c r="L5" s="7" t="inlineStr"/>
      <c r="M5" s="7" t="inlineStr"/>
      <c r="N5" s="7" t="inlineStr"/>
    </row>
    <row r="6">
      <c r="A6" s="11" t="inlineStr">
        <is>
          <t>Domain 2 — Redundancy and Single Points of Failure (10.25)</t>
        </is>
      </c>
      <c r="B6" s="12" t="n"/>
      <c r="C6" s="12" t="n"/>
      <c r="D6" s="12" t="n"/>
      <c r="E6" s="12" t="n"/>
      <c r="F6" s="12" t="n"/>
      <c r="G6" s="12" t="n"/>
      <c r="H6" s="12" t="n"/>
      <c r="I6" s="12" t="n"/>
      <c r="J6" s="12" t="n"/>
      <c r="K6" s="12" t="n"/>
      <c r="L6" s="12" t="n"/>
      <c r="M6" s="12" t="n"/>
      <c r="N6" s="12" t="n"/>
    </row>
    <row r="7">
      <c r="A7" s="13" t="inlineStr">
        <is>
          <t>Critical infrastructure must have no single points of failure. Expect N+1 or 2N redundancy, diverse paths, tested failover. A single failure in power, cooling, or network can cause a DC outage.</t>
        </is>
      </c>
      <c r="B7" s="14" t="n"/>
      <c r="C7" s="14" t="n"/>
      <c r="D7" s="14" t="n"/>
      <c r="E7" s="14" t="n"/>
      <c r="F7" s="14" t="n"/>
      <c r="G7" s="14" t="n"/>
      <c r="H7" s="14" t="n"/>
      <c r="I7" s="14" t="n"/>
      <c r="J7" s="14" t="n"/>
      <c r="K7" s="14" t="n"/>
      <c r="L7" s="14" t="n"/>
      <c r="M7" s="14" t="n"/>
      <c r="N7" s="14" t="n"/>
    </row>
    <row r="8">
      <c r="A8" s="15" t="inlineStr">
        <is>
          <t>10.25</t>
        </is>
      </c>
      <c r="B8" s="15" t="inlineStr">
        <is>
          <t>DCRA-02</t>
        </is>
      </c>
      <c r="C8" s="15" t="inlineStr">
        <is>
          <t>PLATFORM</t>
        </is>
      </c>
      <c r="D8" s="15" t="inlineStr">
        <is>
          <t>Redundancy and SPOF</t>
        </is>
      </c>
      <c r="E8" s="15" t="inlineStr">
        <is>
          <t>Redundant capacity, diverse paths, SPOF analysis, and failover testing</t>
        </is>
      </c>
      <c r="F8" s="15" t="inlineStr"/>
      <c r="G8" s="15" t="inlineStr"/>
      <c r="H8" s="15" t="inlineStr"/>
      <c r="I8" s="15" t="inlineStr"/>
      <c r="J8" s="15" t="inlineStr"/>
      <c r="K8" s="15" t="inlineStr"/>
      <c r="L8" s="15" t="inlineStr"/>
      <c r="M8" s="16" t="inlineStr"/>
      <c r="N8" s="16" t="inlineStr"/>
    </row>
    <row r="9">
      <c r="A9" s="7" t="inlineStr">
        <is>
          <t>10.25</t>
        </is>
      </c>
      <c r="B9" s="7" t="inlineStr">
        <is>
          <t>DCRA-02.1</t>
        </is>
      </c>
      <c r="C9" s="7" t="inlineStr"/>
      <c r="D9" s="7" t="inlineStr"/>
      <c r="E9" s="7" t="inlineStr">
        <is>
          <t>Redundant capacity design</t>
        </is>
      </c>
      <c r="F9" s="7" t="inlineStr">
        <is>
          <t>1. Obtain redundancy design (N+1, 2N, 2N+1).
2. For each critical layer (power, cooling, network), confirm redundancy.
3. Verify actual capacity against design through site inspection.
4. Check redundant capacity handles full load on failover.</t>
        </is>
      </c>
      <c r="G9" s="7" t="inlineStr">
        <is>
          <t>Redundancy design specs; Capacity planning reports; Site inspection observations</t>
        </is>
      </c>
      <c r="H9" s="7" t="inlineStr">
        <is>
          <t>Inspection / Observation</t>
        </is>
      </c>
      <c r="I9" s="7" t="inlineStr"/>
      <c r="J9" s="7" t="inlineStr"/>
      <c r="K9" s="7" t="inlineStr"/>
      <c r="L9" s="7" t="inlineStr"/>
      <c r="M9" s="7" t="inlineStr"/>
      <c r="N9" s="7" t="inlineStr"/>
    </row>
    <row r="10">
      <c r="A10" s="7" t="inlineStr"/>
      <c r="B10" s="7" t="inlineStr">
        <is>
          <t>DCRA-02.2</t>
        </is>
      </c>
      <c r="C10" s="7" t="inlineStr"/>
      <c r="D10" s="7" t="inlineStr"/>
      <c r="E10" s="7" t="inlineStr">
        <is>
          <t>Multiple distribution paths</t>
        </is>
      </c>
      <c r="F10" s="7" t="inlineStr">
        <is>
          <t>1. Review electrical single-line diagrams for dual feeds.
2. Review network diagrams for diverse carrier paths.
3. Confirm physical path diversity.
4. Verify through site walk.</t>
        </is>
      </c>
      <c r="G10" s="7" t="inlineStr">
        <is>
          <t>Electrical single-line diagrams; Network path diversity docs; Site walk observations</t>
        </is>
      </c>
      <c r="H10" s="7" t="inlineStr">
        <is>
          <t>Inspection / Observation</t>
        </is>
      </c>
      <c r="I10" s="7" t="inlineStr"/>
      <c r="J10" s="7" t="inlineStr"/>
      <c r="K10" s="7" t="inlineStr"/>
      <c r="L10" s="7" t="inlineStr"/>
      <c r="M10" s="7" t="inlineStr"/>
      <c r="N10" s="7" t="inlineStr"/>
    </row>
    <row r="11">
      <c r="A11" s="7" t="inlineStr"/>
      <c r="B11" s="7" t="inlineStr">
        <is>
          <t>DCRA-02.3</t>
        </is>
      </c>
      <c r="C11" s="7" t="inlineStr"/>
      <c r="D11" s="7" t="inlineStr"/>
      <c r="E11" s="7" t="inlineStr">
        <is>
          <t>SPOF analysis</t>
        </is>
      </c>
      <c r="F11" s="7" t="inlineStr">
        <is>
          <t>1. Obtain SPOF analysis per DC.
2. Walk through each SPOF and confirm mitigations.
3. Identify unrecognised SPOFs during independent walkthrough.
4. Check SPOF analysis periodically refreshed.</t>
        </is>
      </c>
      <c r="G11" s="7" t="inlineStr">
        <is>
          <t>SPOF analysis/register; Mitigation action plans; Site walk findings</t>
        </is>
      </c>
      <c r="H11" s="7" t="inlineStr">
        <is>
          <t>Inspection / Observation</t>
        </is>
      </c>
      <c r="I11" s="7" t="inlineStr"/>
      <c r="J11" s="7" t="inlineStr"/>
      <c r="K11" s="7" t="inlineStr"/>
      <c r="L11" s="7" t="inlineStr"/>
      <c r="M11" s="7" t="inlineStr"/>
      <c r="N11" s="7" t="inlineStr"/>
    </row>
    <row r="12">
      <c r="A12" s="7" t="inlineStr"/>
      <c r="B12" s="7" t="inlineStr">
        <is>
          <t>DCRA-02.4</t>
        </is>
      </c>
      <c r="C12" s="7" t="inlineStr"/>
      <c r="D12" s="7" t="inlineStr"/>
      <c r="E12" s="7" t="inlineStr">
        <is>
          <t>Failover testing</t>
        </is>
      </c>
      <c r="F12" s="7" t="inlineStr">
        <is>
          <t>1. Obtain failover test plans and results (UPS, generators, cooling, switches).
2. Review test frequency (at least annual).
3. Confirm tests simulate actual failure conditions.
4. Check test failures remediated.</t>
        </is>
      </c>
      <c r="G12" s="7" t="inlineStr">
        <is>
          <t>Failover test plans; Test result reports; Corrective action records</t>
        </is>
      </c>
      <c r="H12" s="7" t="inlineStr">
        <is>
          <t>Inspection</t>
        </is>
      </c>
      <c r="I12" s="7" t="inlineStr"/>
      <c r="J12" s="7" t="inlineStr"/>
      <c r="K12" s="7" t="inlineStr"/>
      <c r="L12" s="7" t="inlineStr"/>
      <c r="M12" s="7" t="inlineStr"/>
      <c r="N12" s="7" t="inlineStr"/>
    </row>
    <row r="13">
      <c r="A13" s="11" t="inlineStr">
        <is>
          <t>Domain 3 — Physical Security and Environmental Controls (10.26)</t>
        </is>
      </c>
      <c r="B13" s="12" t="n"/>
      <c r="C13" s="12" t="n"/>
      <c r="D13" s="12" t="n"/>
      <c r="E13" s="12" t="n"/>
      <c r="F13" s="12" t="n"/>
      <c r="G13" s="12" t="n"/>
      <c r="H13" s="12" t="n"/>
      <c r="I13" s="12" t="n"/>
      <c r="J13" s="12" t="n"/>
      <c r="K13" s="12" t="n"/>
      <c r="L13" s="12" t="n"/>
      <c r="M13" s="12" t="n"/>
      <c r="N13" s="12" t="n"/>
    </row>
    <row r="14">
      <c r="A14" s="13" t="inlineStr">
        <is>
          <t>Physical security protects against unauthorised access and environmental threats. Expect multi-layered access, environmental monitoring, fire suppression, hazard assessment. Physical compromise bypasses all logical controls.</t>
        </is>
      </c>
      <c r="B14" s="14" t="n"/>
      <c r="C14" s="14" t="n"/>
      <c r="D14" s="14" t="n"/>
      <c r="E14" s="14" t="n"/>
      <c r="F14" s="14" t="n"/>
      <c r="G14" s="14" t="n"/>
      <c r="H14" s="14" t="n"/>
      <c r="I14" s="14" t="n"/>
      <c r="J14" s="14" t="n"/>
      <c r="K14" s="14" t="n"/>
      <c r="L14" s="14" t="n"/>
      <c r="M14" s="14" t="n"/>
      <c r="N14" s="14" t="n"/>
    </row>
    <row r="15">
      <c r="A15" s="15" t="inlineStr">
        <is>
          <t>10.26</t>
        </is>
      </c>
      <c r="B15" s="15" t="inlineStr">
        <is>
          <t>DCRA-03</t>
        </is>
      </c>
      <c r="C15" s="15" t="inlineStr">
        <is>
          <t>PLATFORM</t>
        </is>
      </c>
      <c r="D15" s="15" t="inlineStr">
        <is>
          <t>Physical Security &amp; Environmental</t>
        </is>
      </c>
      <c r="E15" s="15" t="inlineStr">
        <is>
          <t>Multi-layered physical access, environmental monitoring, fire suppression, and hazard assessment</t>
        </is>
      </c>
      <c r="F15" s="15" t="inlineStr"/>
      <c r="G15" s="15" t="inlineStr"/>
      <c r="H15" s="15" t="inlineStr"/>
      <c r="I15" s="15" t="inlineStr"/>
      <c r="J15" s="15" t="inlineStr"/>
      <c r="K15" s="15" t="inlineStr"/>
      <c r="L15" s="15" t="inlineStr"/>
      <c r="M15" s="16" t="inlineStr"/>
      <c r="N15" s="16" t="inlineStr"/>
    </row>
    <row r="16">
      <c r="A16" s="7" t="inlineStr">
        <is>
          <t>10.26</t>
        </is>
      </c>
      <c r="B16" s="7" t="inlineStr">
        <is>
          <t>DCRA-03.1</t>
        </is>
      </c>
      <c r="C16" s="7" t="inlineStr"/>
      <c r="D16" s="7" t="inlineStr"/>
      <c r="E16" s="7" t="inlineStr">
        <is>
          <t>Dedicated space and physical separation</t>
        </is>
      </c>
      <c r="F16" s="7" t="inlineStr">
        <is>
          <t>1. Confirm DC in dedicated space.
2. Verify physical separation from public areas.
3. Check walls extend true floor to true ceiling.</t>
        </is>
      </c>
      <c r="G16" s="7" t="inlineStr">
        <is>
          <t>Site inspection observations; Building layout plans; Lease/facility agreements</t>
        </is>
      </c>
      <c r="H16" s="7" t="inlineStr">
        <is>
          <t>Observation</t>
        </is>
      </c>
      <c r="I16" s="7" t="inlineStr"/>
      <c r="J16" s="7" t="inlineStr"/>
      <c r="K16" s="7" t="inlineStr"/>
      <c r="L16" s="7" t="inlineStr"/>
      <c r="M16" s="7" t="inlineStr"/>
      <c r="N16" s="7" t="inlineStr"/>
    </row>
    <row r="17">
      <c r="A17" s="7" t="inlineStr">
        <is>
          <t>10.26</t>
        </is>
      </c>
      <c r="B17" s="7" t="inlineStr">
        <is>
          <t>DCRA-03.2</t>
        </is>
      </c>
      <c r="C17" s="7" t="inlineStr"/>
      <c r="D17" s="7" t="inlineStr"/>
      <c r="E17" s="7" t="inlineStr">
        <is>
          <t>Multi-layered access controls</t>
        </is>
      </c>
      <c r="F17" s="7" t="inlineStr">
        <is>
          <t>1. Walk access path from perimeter to rack.
2. Verify independent controls at each layer.
3. Test access mechanisms.
4. Review provisioning/de-provisioning.
5. Sample-check access list against HR for terminated staff.</t>
        </is>
      </c>
      <c r="G17" s="7" t="inlineStr">
        <is>
          <t>Physical security policy; Access control config; Access list vs HR reconciliation; Site walk observations</t>
        </is>
      </c>
      <c r="H17" s="7" t="inlineStr">
        <is>
          <t>Inspection / Observation</t>
        </is>
      </c>
      <c r="I17" s="7" t="inlineStr"/>
      <c r="J17" s="7" t="inlineStr"/>
      <c r="K17" s="7" t="inlineStr"/>
      <c r="L17" s="7" t="inlineStr"/>
      <c r="M17" s="7" t="inlineStr"/>
      <c r="N17" s="7" t="inlineStr"/>
    </row>
    <row r="18">
      <c r="A18" s="7" t="inlineStr">
        <is>
          <t>10.26</t>
        </is>
      </c>
      <c r="B18" s="7" t="inlineStr">
        <is>
          <t>DCRA-03.3</t>
        </is>
      </c>
      <c r="C18" s="7" t="inlineStr"/>
      <c r="D18" s="7" t="inlineStr"/>
      <c r="E18" s="7" t="inlineStr">
        <is>
          <t>Disaster-prone location assessment</t>
        </is>
      </c>
      <c r="F18" s="7" t="inlineStr">
        <is>
          <t>1. Obtain site risk assessment (flood, earthquake, lightning).
2. Cross-reference against hazard maps.
3. Verify mitigations.
4. Check assessment periodically updated.</t>
        </is>
      </c>
      <c r="G18" s="7" t="inlineStr">
        <is>
          <t>Site risk assessment; Hazard map cross-reference; Mitigation evidence</t>
        </is>
      </c>
      <c r="H18" s="7" t="inlineStr">
        <is>
          <t>Inspection</t>
        </is>
      </c>
      <c r="I18" s="7" t="inlineStr"/>
      <c r="J18" s="7" t="inlineStr"/>
      <c r="K18" s="7" t="inlineStr"/>
      <c r="L18" s="7" t="inlineStr"/>
      <c r="M18" s="7" t="inlineStr"/>
      <c r="N18" s="7" t="inlineStr"/>
    </row>
    <row r="19">
      <c r="A19" s="7" t="inlineStr">
        <is>
          <t>10.26</t>
        </is>
      </c>
      <c r="B19" s="7" t="inlineStr">
        <is>
          <t>DCRA-03.4</t>
        </is>
      </c>
      <c r="C19" s="7" t="inlineStr"/>
      <c r="D19" s="7" t="inlineStr"/>
      <c r="E19" s="7" t="inlineStr">
        <is>
          <t>Electrical infrastructure</t>
        </is>
      </c>
      <c r="F19" s="7" t="inlineStr">
        <is>
          <t>1. Review UPS configuration (N+1 or 2N).
2. Verify UPS runtime (min 15 min).
3. Confirm generator auto-start and fuel autonomy (48-72 hrs).
4. Check ATS operation and tests.
5. Verify fuel replenishment contracts.</t>
        </is>
      </c>
      <c r="G19" s="7" t="inlineStr">
        <is>
          <t>UPS specs and test reports; Generator load test reports; ATS test records; Fuel supply contracts</t>
        </is>
      </c>
      <c r="H19" s="7" t="inlineStr">
        <is>
          <t>Inspection / Observation</t>
        </is>
      </c>
      <c r="I19" s="7" t="inlineStr"/>
      <c r="J19" s="7" t="inlineStr"/>
      <c r="K19" s="7" t="inlineStr"/>
      <c r="L19" s="7" t="inlineStr"/>
      <c r="M19" s="7" t="inlineStr"/>
      <c r="N19" s="7" t="inlineStr"/>
    </row>
    <row r="20">
      <c r="A20" s="7" t="inlineStr">
        <is>
          <t>10.26</t>
        </is>
      </c>
      <c r="B20" s="7" t="inlineStr">
        <is>
          <t>DCRA-03.5</t>
        </is>
      </c>
      <c r="C20" s="7" t="inlineStr"/>
      <c r="D20" s="7" t="inlineStr"/>
      <c r="E20" s="7" t="inlineStr">
        <is>
          <t>Thermal management</t>
        </is>
      </c>
      <c r="F20" s="7" t="inlineStr">
        <is>
          <t>1. Review cooling design (N+1 min).
2. Check cooling load vs capacity.
3. Verify rack-level monitoring.
4. Confirm alerting thresholds.
5. Review hot/cold aisle containment.</t>
        </is>
      </c>
      <c r="G20" s="7" t="inlineStr">
        <is>
          <t>Cooling design docs; Capacity reports; Monitoring config; Alert thresholds</t>
        </is>
      </c>
      <c r="H20" s="7" t="inlineStr">
        <is>
          <t>Inspection / Observation</t>
        </is>
      </c>
      <c r="I20" s="7" t="inlineStr"/>
      <c r="J20" s="7" t="inlineStr"/>
      <c r="K20" s="7" t="inlineStr"/>
      <c r="L20" s="7" t="inlineStr"/>
      <c r="M20" s="7" t="inlineStr"/>
      <c r="N20" s="7" t="inlineStr"/>
    </row>
    <row r="21">
      <c r="A21" s="7" t="inlineStr">
        <is>
          <t>10.26</t>
        </is>
      </c>
      <c r="B21" s="7" t="inlineStr">
        <is>
          <t>DCRA-03.6</t>
        </is>
      </c>
      <c r="C21" s="7" t="inlineStr"/>
      <c r="D21" s="7" t="inlineStr"/>
      <c r="E21" s="7" t="inlineStr">
        <is>
          <t>Fire suppression and monitoring</t>
        </is>
      </c>
      <c r="F21" s="7" t="inlineStr">
        <is>
          <t>1. Confirm VESDA or equivalent.
2. Verify gas-based suppression with current inspections.
3. Check water leak detection.
4. Verify 24/7 monitoring and alerting.
5. Review environmental incident response procedures.</t>
        </is>
      </c>
      <c r="G21" s="7" t="inlineStr">
        <is>
          <t>Fire suppression certificates; VESDA config; Water leak detection; Monitoring dashboard; Environmental IR procedures</t>
        </is>
      </c>
      <c r="H21" s="7" t="inlineStr">
        <is>
          <t>Inspection / Observation</t>
        </is>
      </c>
      <c r="I21" s="7" t="inlineStr"/>
      <c r="J21" s="7" t="inlineStr"/>
      <c r="K21" s="7" t="inlineStr"/>
      <c r="L21" s="7" t="inlineStr"/>
      <c r="M21" s="7" t="inlineStr"/>
      <c r="N21" s="7" t="inlineStr"/>
    </row>
    <row r="22">
      <c r="A22" s="7" t="inlineStr"/>
      <c r="B22" s="7" t="inlineStr">
        <is>
          <t>DCRA-03.7</t>
        </is>
      </c>
      <c r="C22" s="7" t="inlineStr"/>
      <c r="D22" s="7" t="inlineStr"/>
      <c r="E22" s="7" t="inlineStr">
        <is>
          <t>Hardware lifecycle management</t>
        </is>
      </c>
      <c r="F22" s="7" t="inlineStr">
        <is>
          <t>1. Obtain hardware asset register.
2. Sample-check physical assets against register.
3. Verify EOL/EOS hardware tracked with replacement plan.
4. Check secure data destruction for decommissioned equipment.</t>
        </is>
      </c>
      <c r="G22" s="7" t="inlineStr">
        <is>
          <t>Hardware asset register; Physical verification; EOL/EOS tracker; Data destruction certificates</t>
        </is>
      </c>
      <c r="H22" s="7" t="inlineStr">
        <is>
          <t>Inspection / Observation</t>
        </is>
      </c>
      <c r="I22" s="7" t="inlineStr"/>
      <c r="J22" s="7" t="inlineStr"/>
      <c r="K22" s="7" t="inlineStr"/>
      <c r="L22" s="7" t="inlineStr"/>
      <c r="M22" s="7" t="inlineStr"/>
      <c r="N22" s="7" t="inlineStr"/>
    </row>
    <row r="23">
      <c r="A23" s="11" t="inlineStr">
        <is>
          <t>Domain 4 — DC Operations and Control Procedures (10.27)</t>
        </is>
      </c>
      <c r="B23" s="12" t="n"/>
      <c r="C23" s="12" t="n"/>
      <c r="D23" s="12" t="n"/>
      <c r="E23" s="12" t="n"/>
      <c r="F23" s="12" t="n"/>
      <c r="G23" s="12" t="n"/>
      <c r="H23" s="12" t="n"/>
      <c r="I23" s="12" t="n"/>
      <c r="J23" s="12" t="n"/>
      <c r="K23" s="12" t="n"/>
      <c r="L23" s="12" t="n"/>
      <c r="M23" s="12" t="n"/>
      <c r="N23" s="12" t="n"/>
    </row>
    <row r="24">
      <c r="A24" s="13" t="inlineStr">
        <is>
          <t>Operational controls ensure stable, monitored DC operations. Expect automated monitoring, controlled changes, incident management with RCA. Uncontrolled operations lead to avoidable outages.</t>
        </is>
      </c>
      <c r="B24" s="14" t="n"/>
      <c r="C24" s="14" t="n"/>
      <c r="D24" s="14" t="n"/>
      <c r="E24" s="14" t="n"/>
      <c r="F24" s="14" t="n"/>
      <c r="G24" s="14" t="n"/>
      <c r="H24" s="14" t="n"/>
      <c r="I24" s="14" t="n"/>
      <c r="J24" s="14" t="n"/>
      <c r="K24" s="14" t="n"/>
      <c r="L24" s="14" t="n"/>
      <c r="M24" s="14" t="n"/>
      <c r="N24" s="14" t="n"/>
    </row>
    <row r="25">
      <c r="A25" s="15" t="inlineStr">
        <is>
          <t>10.27</t>
        </is>
      </c>
      <c r="B25" s="15" t="inlineStr">
        <is>
          <t>DCRA-04</t>
        </is>
      </c>
      <c r="C25" s="15" t="inlineStr">
        <is>
          <t>PLATFORM</t>
        </is>
      </c>
      <c r="D25" s="15" t="inlineStr">
        <is>
          <t>DC Operations</t>
        </is>
      </c>
      <c r="E25" s="15" t="inlineStr">
        <is>
          <t>Automated monitoring, batch processing, change management, and incident handling</t>
        </is>
      </c>
      <c r="F25" s="15" t="inlineStr"/>
      <c r="G25" s="15" t="inlineStr"/>
      <c r="H25" s="15" t="inlineStr"/>
      <c r="I25" s="15" t="inlineStr"/>
      <c r="J25" s="15" t="inlineStr"/>
      <c r="K25" s="15" t="inlineStr"/>
      <c r="L25" s="15" t="inlineStr"/>
      <c r="M25" s="16" t="inlineStr"/>
      <c r="N25" s="16" t="inlineStr"/>
    </row>
    <row r="26">
      <c r="A26" s="7" t="inlineStr">
        <is>
          <t>10.27</t>
        </is>
      </c>
      <c r="B26" s="7" t="inlineStr">
        <is>
          <t>DCRA-04.1</t>
        </is>
      </c>
      <c r="C26" s="7" t="inlineStr"/>
      <c r="D26" s="7" t="inlineStr"/>
      <c r="E26" s="7" t="inlineStr">
        <is>
          <t>Automated monitoring</t>
        </is>
      </c>
      <c r="F26" s="7" t="inlineStr">
        <is>
          <t>1. Obtain monitoring tool inventory (DCIM, BMS, network).
2. Verify coverage of critical parameters.
3. Test alerts for threshold breaches.
4. Confirm NOC/SOC integration.</t>
        </is>
      </c>
      <c r="G26" s="7" t="inlineStr">
        <is>
          <t>Tool inventory; Monitoring coverage matrix; Sample alerts; NOC/SOC integration</t>
        </is>
      </c>
      <c r="H26" s="7" t="inlineStr">
        <is>
          <t>Inspection</t>
        </is>
      </c>
      <c r="I26" s="7" t="inlineStr"/>
      <c r="J26" s="7" t="inlineStr"/>
      <c r="K26" s="7" t="inlineStr"/>
      <c r="L26" s="7" t="inlineStr"/>
      <c r="M26" s="7" t="inlineStr"/>
      <c r="N26" s="7" t="inlineStr"/>
    </row>
    <row r="27">
      <c r="A27" s="7" t="inlineStr">
        <is>
          <t>10.27</t>
        </is>
      </c>
      <c r="B27" s="7" t="inlineStr">
        <is>
          <t>DCRA-04.2</t>
        </is>
      </c>
      <c r="C27" s="7" t="inlineStr"/>
      <c r="D27" s="7" t="inlineStr"/>
      <c r="E27" s="7" t="inlineStr">
        <is>
          <t>Batch processing controls</t>
        </is>
      </c>
      <c r="F27" s="7" t="inlineStr">
        <is>
          <t>1. Obtain batch job procedures.
2. Verify jobs have defined run windows, dependencies, error handling.
3. Review failure logs (3 months).
4. Check schedule changes controlled.</t>
        </is>
      </c>
      <c r="G27" s="7" t="inlineStr">
        <is>
          <t>Batch scheduling procedures; Job scheduler config; Failure logs; Change approval records</t>
        </is>
      </c>
      <c r="H27" s="7" t="inlineStr">
        <is>
          <t>Inspection</t>
        </is>
      </c>
      <c r="I27" s="7" t="inlineStr"/>
      <c r="J27" s="7" t="inlineStr"/>
      <c r="K27" s="7" t="inlineStr"/>
      <c r="L27" s="7" t="inlineStr"/>
      <c r="M27" s="7" t="inlineStr"/>
      <c r="N27" s="7" t="inlineStr"/>
    </row>
    <row r="28">
      <c r="A28" s="7" t="inlineStr">
        <is>
          <t>10.27</t>
        </is>
      </c>
      <c r="B28" s="7" t="inlineStr">
        <is>
          <t>DCRA-04.3</t>
        </is>
      </c>
      <c r="C28" s="7" t="inlineStr"/>
      <c r="D28" s="7" t="inlineStr"/>
      <c r="E28" s="7" t="inlineStr">
        <is>
          <t>Change management</t>
        </is>
      </c>
      <c r="F28" s="7" t="inlineStr">
        <is>
          <t>1. Obtain DC change management procedure.
2. Sample 10 infrastructure changes.
3. Verify full lifecycle (request through post-impl review).
4. Check emergency changes follow defined process.</t>
        </is>
      </c>
      <c r="G28" s="7" t="inlineStr">
        <is>
          <t>Change management procedure; 10 sampled change records; Emergency change records</t>
        </is>
      </c>
      <c r="H28" s="7" t="inlineStr">
        <is>
          <t>Inspection</t>
        </is>
      </c>
      <c r="I28" s="7" t="inlineStr"/>
      <c r="J28" s="7" t="inlineStr"/>
      <c r="K28" s="7" t="inlineStr"/>
      <c r="L28" s="7" t="inlineStr"/>
      <c r="M28" s="7" t="inlineStr"/>
      <c r="N28" s="7" t="inlineStr"/>
    </row>
    <row r="29">
      <c r="A29" s="7" t="inlineStr">
        <is>
          <t>10.27</t>
        </is>
      </c>
      <c r="B29" s="7" t="inlineStr">
        <is>
          <t>DCRA-04.4</t>
        </is>
      </c>
      <c r="C29" s="7" t="inlineStr"/>
      <c r="D29" s="7" t="inlineStr"/>
      <c r="E29" s="7" t="inlineStr">
        <is>
          <t>Error and incident handling</t>
        </is>
      </c>
      <c r="F29" s="7" t="inlineStr">
        <is>
          <t>1. Obtain DC incident management procedure.
2. Review incident log (6 months).
3. Verify RCA for significant incidents.
4. Check RCA findings led to preventive actions.</t>
        </is>
      </c>
      <c r="G29" s="7" t="inlineStr">
        <is>
          <t>Incident management procedure; Incident log (6 months); RCA reports; Preventive action tracker</t>
        </is>
      </c>
      <c r="H29" s="7" t="inlineStr">
        <is>
          <t>Inspection</t>
        </is>
      </c>
      <c r="I29" s="7" t="inlineStr"/>
      <c r="J29" s="7" t="inlineStr"/>
      <c r="K29" s="7" t="inlineStr"/>
      <c r="L29" s="7" t="inlineStr"/>
      <c r="M29" s="7" t="inlineStr"/>
      <c r="N29" s="7" t="inlineStr"/>
    </row>
    <row r="30">
      <c r="A30" s="11" t="inlineStr">
        <is>
          <t>Domain 5 — Segregation of Incompatible Activities (10.28)</t>
        </is>
      </c>
      <c r="B30" s="12" t="n"/>
      <c r="C30" s="12" t="n"/>
      <c r="D30" s="12" t="n"/>
      <c r="E30" s="12" t="n"/>
      <c r="F30" s="12" t="n"/>
      <c r="G30" s="12" t="n"/>
      <c r="H30" s="12" t="n"/>
      <c r="I30" s="12" t="n"/>
      <c r="J30" s="12" t="n"/>
      <c r="K30" s="12" t="n"/>
      <c r="L30" s="12" t="n"/>
      <c r="M30" s="12" t="n"/>
      <c r="N30" s="12" t="n"/>
    </row>
    <row r="31">
      <c r="A31" s="13" t="inlineStr">
        <is>
          <t>Segregation prevents unauthorised changes and maintains environment integrity. Expect production isolation, controlled vendor access, SoD enforcement. Without segregation, a single actor can compromise production.</t>
        </is>
      </c>
      <c r="B31" s="14" t="n"/>
      <c r="C31" s="14" t="n"/>
      <c r="D31" s="14" t="n"/>
      <c r="E31" s="14" t="n"/>
      <c r="F31" s="14" t="n"/>
      <c r="G31" s="14" t="n"/>
      <c r="H31" s="14" t="n"/>
      <c r="I31" s="14" t="n"/>
      <c r="J31" s="14" t="n"/>
      <c r="K31" s="14" t="n"/>
      <c r="L31" s="14" t="n"/>
      <c r="M31" s="14" t="n"/>
      <c r="N31" s="14" t="n"/>
    </row>
    <row r="32">
      <c r="A32" s="15" t="inlineStr">
        <is>
          <t>10.28</t>
        </is>
      </c>
      <c r="B32" s="15" t="inlineStr">
        <is>
          <t>DCRA-05</t>
        </is>
      </c>
      <c r="C32" s="15" t="inlineStr">
        <is>
          <t>PLATFORM</t>
        </is>
      </c>
      <c r="D32" s="15" t="inlineStr">
        <is>
          <t>Segregation</t>
        </is>
      </c>
      <c r="E32" s="15" t="inlineStr">
        <is>
          <t>Vendor access controls, production segregation, and segregation of duties</t>
        </is>
      </c>
      <c r="F32" s="15" t="inlineStr"/>
      <c r="G32" s="15" t="inlineStr"/>
      <c r="H32" s="15" t="inlineStr"/>
      <c r="I32" s="15" t="inlineStr"/>
      <c r="J32" s="15" t="inlineStr"/>
      <c r="K32" s="15" t="inlineStr"/>
      <c r="L32" s="15" t="inlineStr"/>
      <c r="M32" s="16" t="inlineStr"/>
      <c r="N32" s="16" t="inlineStr"/>
    </row>
    <row r="33">
      <c r="A33" s="7" t="inlineStr">
        <is>
          <t>10.28</t>
        </is>
      </c>
      <c r="B33" s="7" t="inlineStr">
        <is>
          <t>DCRA-05.1</t>
        </is>
      </c>
      <c r="C33" s="7" t="inlineStr"/>
      <c r="D33" s="7" t="inlineStr"/>
      <c r="E33" s="7" t="inlineStr">
        <is>
          <t>Vendor access controls</t>
        </is>
      </c>
      <c r="F33" s="7" t="inlineStr">
        <is>
          <t>1. Review vendor/third-party access policy.
2. Check pre-approved access requests.
3. Verify escort requirements.
4. Sample-check vendor access logs.
5. Confirm access revoked promptly.</t>
        </is>
      </c>
      <c r="G33" s="7" t="inlineStr">
        <is>
          <t>Vendor access policy; Access request forms; Escort logs; Access log reconciliation</t>
        </is>
      </c>
      <c r="H33" s="7" t="inlineStr">
        <is>
          <t>Inspection</t>
        </is>
      </c>
      <c r="I33" s="7" t="inlineStr"/>
      <c r="J33" s="7" t="inlineStr"/>
      <c r="K33" s="7" t="inlineStr"/>
      <c r="L33" s="7" t="inlineStr"/>
      <c r="M33" s="7" t="inlineStr"/>
      <c r="N33" s="7" t="inlineStr"/>
    </row>
    <row r="34">
      <c r="A34" s="7" t="inlineStr"/>
      <c r="B34" s="7" t="inlineStr">
        <is>
          <t>DCRA-05.2</t>
        </is>
      </c>
      <c r="C34" s="7" t="inlineStr"/>
      <c r="D34" s="7" t="inlineStr"/>
      <c r="E34" s="7" t="inlineStr">
        <is>
          <t>Production segregation</t>
        </is>
      </c>
      <c r="F34" s="7" t="inlineStr">
        <is>
          <t>1. Review logical and physical segregation (prod vs non-prod).
2. Verify developers have no direct production access.
3. Check network segmentation.
4. Confirm non-prod data masked.</t>
        </is>
      </c>
      <c r="G34" s="7" t="inlineStr">
        <is>
          <t>Environment segregation architecture; Access control matrices; Network segmentation; Data masking procedures</t>
        </is>
      </c>
      <c r="H34" s="7" t="inlineStr">
        <is>
          <t>Inspection</t>
        </is>
      </c>
      <c r="I34" s="7" t="inlineStr"/>
      <c r="J34" s="7" t="inlineStr"/>
      <c r="K34" s="7" t="inlineStr"/>
      <c r="L34" s="7" t="inlineStr"/>
      <c r="M34" s="7" t="inlineStr"/>
      <c r="N34" s="7" t="inlineStr"/>
    </row>
    <row r="35">
      <c r="A35" s="7" t="inlineStr"/>
      <c r="B35" s="7" t="inlineStr">
        <is>
          <t>DCRA-05.3</t>
        </is>
      </c>
      <c r="C35" s="7" t="inlineStr"/>
      <c r="D35" s="7" t="inlineStr"/>
      <c r="E35" s="7" t="inlineStr">
        <is>
          <t>Segregation of duties</t>
        </is>
      </c>
      <c r="F35" s="7" t="inlineStr">
        <is>
          <t>1. Obtain DC operations RACI.
2. Verify incompatible duties separated.
3. Check privileged access limited and monitored.
4. Review privileged access usage logs (3 months).</t>
        </is>
      </c>
      <c r="G35" s="7" t="inlineStr">
        <is>
          <t>RACI matrix; Role definitions; Privileged access list; Privileged access usage logs</t>
        </is>
      </c>
      <c r="H35" s="7" t="inlineStr">
        <is>
          <t>Inspection</t>
        </is>
      </c>
      <c r="I35" s="7" t="inlineStr"/>
      <c r="J35" s="7" t="inlineStr"/>
      <c r="K35" s="7" t="inlineStr"/>
      <c r="L35" s="7" t="inlineStr"/>
      <c r="M35" s="7" t="inlineStr"/>
      <c r="N35" s="7" t="inlineStr"/>
    </row>
  </sheetData>
  <mergeCells count="10">
    <mergeCell ref="A31:N31"/>
    <mergeCell ref="A3:N3"/>
    <mergeCell ref="A6:N6"/>
    <mergeCell ref="A24:N24"/>
    <mergeCell ref="A2:N2"/>
    <mergeCell ref="A30:N30"/>
    <mergeCell ref="A7:N7"/>
    <mergeCell ref="A23:N23"/>
    <mergeCell ref="A13:N13"/>
    <mergeCell ref="A14:N1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78"/>
  <sheetViews>
    <sheetView workbookViewId="0">
      <selection activeCell="A1" sqref="A1"/>
    </sheetView>
  </sheetViews>
  <sheetFormatPr baseColWidth="8" defaultRowHeight="15"/>
  <cols>
    <col width="14" customWidth="1" min="1" max="1"/>
    <col width="10" customWidth="1" min="2" max="2"/>
    <col width="11" customWidth="1" min="3" max="3"/>
    <col width="22" customWidth="1" min="4" max="4"/>
    <col width="28" customWidth="1" min="5" max="5"/>
    <col width="50" customWidth="1" min="6" max="6"/>
    <col width="35" customWidth="1" min="7" max="7"/>
    <col width="14" customWidth="1" min="8" max="8"/>
    <col width="30" customWidth="1" min="9" max="9"/>
    <col width="25" customWidth="1" min="10" max="10"/>
    <col width="12" customWidth="1" min="11" max="11"/>
    <col width="30" customWidth="1" min="12" max="12"/>
    <col width="16" customWidth="1" min="13" max="13"/>
    <col width="30" customWidth="1" min="14" max="14"/>
  </cols>
  <sheetData>
    <row r="1">
      <c r="A1" s="10" t="inlineStr">
        <is>
          <t>BNM Ref</t>
        </is>
      </c>
      <c r="B1" s="10" t="inlineStr">
        <is>
          <t>Ref</t>
        </is>
      </c>
      <c r="C1" s="10" t="inlineStr">
        <is>
          <t>Level</t>
        </is>
      </c>
      <c r="D1" s="10" t="inlineStr">
        <is>
          <t>Control Domain</t>
        </is>
      </c>
      <c r="E1" s="10" t="inlineStr">
        <is>
          <t>Sub-Procedure</t>
        </is>
      </c>
      <c r="F1" s="10" t="inlineStr">
        <is>
          <t>Assessment Procedures</t>
        </is>
      </c>
      <c r="G1" s="10" t="inlineStr">
        <is>
          <t>Expected Evidence</t>
        </is>
      </c>
      <c r="H1" s="10" t="inlineStr">
        <is>
          <t>Method</t>
        </is>
      </c>
      <c r="I1" s="10" t="inlineStr">
        <is>
          <t>Procedures Performed</t>
        </is>
      </c>
      <c r="J1" s="10" t="inlineStr">
        <is>
          <t>Evidence Obtained</t>
        </is>
      </c>
      <c r="K1" s="10" t="inlineStr">
        <is>
          <t>Evidence Ref</t>
        </is>
      </c>
      <c r="L1" s="10" t="inlineStr">
        <is>
          <t>Observations</t>
        </is>
      </c>
      <c r="M1" s="10" t="inlineStr">
        <is>
          <t>Conclusion</t>
        </is>
      </c>
      <c r="N1" s="10" t="inlineStr">
        <is>
          <t>Recommendations</t>
        </is>
      </c>
    </row>
    <row r="2">
      <c r="A2" s="11" t="inlineStr">
        <is>
          <t>Item 1(a) — Access Control</t>
        </is>
      </c>
      <c r="B2" s="12" t="n"/>
      <c r="C2" s="12" t="n"/>
      <c r="D2" s="12" t="n"/>
      <c r="E2" s="12" t="n"/>
      <c r="F2" s="12" t="n"/>
      <c r="G2" s="12" t="n"/>
      <c r="H2" s="12" t="n"/>
      <c r="I2" s="12" t="n"/>
      <c r="J2" s="12" t="n"/>
      <c r="K2" s="12" t="n"/>
      <c r="L2" s="12" t="n"/>
      <c r="M2" s="12" t="n"/>
      <c r="N2" s="12" t="n"/>
    </row>
    <row r="3">
      <c r="A3" s="13" t="inlineStr">
        <is>
          <t>Access control is foundational — who can access what. Expect policy-driven provisioning, periodic reviews, PAM controls, timely revocation. Excessive access is the most common audit finding.</t>
        </is>
      </c>
      <c r="B3" s="14" t="n"/>
      <c r="C3" s="14" t="n"/>
      <c r="D3" s="14" t="n"/>
      <c r="E3" s="14" t="n"/>
      <c r="F3" s="14" t="n"/>
      <c r="G3" s="14" t="n"/>
      <c r="H3" s="14" t="n"/>
      <c r="I3" s="14" t="n"/>
      <c r="J3" s="14" t="n"/>
      <c r="K3" s="14" t="n"/>
      <c r="L3" s="14" t="n"/>
      <c r="M3" s="14" t="n"/>
      <c r="N3" s="14" t="n"/>
    </row>
    <row r="4">
      <c r="A4" s="15" t="inlineStr">
        <is>
          <t>App7-D1(a)</t>
        </is>
      </c>
      <c r="B4" s="15" t="inlineStr">
        <is>
          <t>PD-01</t>
        </is>
      </c>
      <c r="C4" s="15" t="inlineStr">
        <is>
          <t>ORG</t>
        </is>
      </c>
      <c r="D4" s="15" t="inlineStr">
        <is>
          <t>Access Control</t>
        </is>
      </c>
      <c r="E4" s="15" t="inlineStr">
        <is>
          <t>Access control policies, provisioning, privileged access, and periodic review</t>
        </is>
      </c>
      <c r="F4" s="15" t="inlineStr"/>
      <c r="G4" s="15" t="inlineStr"/>
      <c r="H4" s="15" t="inlineStr"/>
      <c r="I4" s="15" t="inlineStr"/>
      <c r="J4" s="15" t="inlineStr"/>
      <c r="K4" s="15" t="inlineStr"/>
      <c r="L4" s="15" t="inlineStr"/>
      <c r="M4" s="16" t="inlineStr"/>
      <c r="N4" s="16" t="inlineStr"/>
    </row>
    <row r="5">
      <c r="A5" s="7" t="inlineStr">
        <is>
          <t>App7-D1(a)(i)</t>
        </is>
      </c>
      <c r="B5" s="7" t="inlineStr">
        <is>
          <t>PD-01.1</t>
        </is>
      </c>
      <c r="C5" s="7" t="inlineStr"/>
      <c r="D5" s="7" t="inlineStr"/>
      <c r="E5" s="7" t="inlineStr">
        <is>
          <t>Access control policies and mechanisms</t>
        </is>
      </c>
      <c r="F5" s="7" t="inlineStr">
        <is>
          <t>1. Obtain the FI's access control policy and supporting standards.
2. Verify policy covers user registration, de-registration, access provisioning, and privilege management.
3. Sample 20 user accounts — verify access rights are consistent with job roles (least privilege).
4. Check that access reviews are performed periodically (quarterly for privileged, semi-annually for standard).
5. Verify access revocation upon termination — sample 10 recent leavers/transfers.</t>
        </is>
      </c>
      <c r="G5" s="7" t="inlineStr">
        <is>
          <t>Access control policy; User access provisioning records; Access review reports; HR leaver/transfer list vs. access revocation logs</t>
        </is>
      </c>
      <c r="H5" s="7" t="inlineStr">
        <is>
          <t>Inspection</t>
        </is>
      </c>
      <c r="I5" s="7" t="inlineStr"/>
      <c r="J5" s="7" t="inlineStr"/>
      <c r="K5" s="7" t="inlineStr"/>
      <c r="L5" s="7" t="inlineStr"/>
      <c r="M5" s="7" t="inlineStr"/>
      <c r="N5" s="7" t="inlineStr"/>
    </row>
    <row r="6">
      <c r="A6" s="7" t="inlineStr">
        <is>
          <t>App7-D1(a)(ii)</t>
        </is>
      </c>
      <c r="B6" s="7" t="inlineStr">
        <is>
          <t>PD-01.2</t>
        </is>
      </c>
      <c r="C6" s="7" t="inlineStr"/>
      <c r="D6" s="7" t="inlineStr"/>
      <c r="E6" s="7" t="inlineStr">
        <is>
          <t>Privileged access management</t>
        </is>
      </c>
      <c r="F6" s="7" t="inlineStr">
        <is>
          <t>1. Obtain the PAM policy or standard.
2. Obtain the list of all privileged accounts (system admin, DBA, root, domain admin).
3. Verify privileged accounts are individually assigned or vault-managed with session recording.
4. Check that privileged access is time-bound and subject to approval workflow.
5. Review privileged session logs for the past 3 months for anomalies.</t>
        </is>
      </c>
      <c r="G6" s="7" t="inlineStr">
        <is>
          <t>PAM policy; Privileged account inventory; PAM tool configuration and logs; Session recording samples</t>
        </is>
      </c>
      <c r="H6" s="7" t="inlineStr">
        <is>
          <t>Inspection</t>
        </is>
      </c>
      <c r="I6" s="7" t="inlineStr"/>
      <c r="J6" s="7" t="inlineStr"/>
      <c r="K6" s="7" t="inlineStr"/>
      <c r="L6" s="7" t="inlineStr"/>
      <c r="M6" s="7" t="inlineStr"/>
      <c r="N6" s="7" t="inlineStr"/>
    </row>
    <row r="7">
      <c r="A7" s="11" t="inlineStr">
        <is>
          <t>Item 1(b) — Physical and Environmental Security</t>
        </is>
      </c>
      <c r="B7" s="12" t="n"/>
      <c r="C7" s="12" t="n"/>
      <c r="D7" s="12" t="n"/>
      <c r="E7" s="12" t="n"/>
      <c r="F7" s="12" t="n"/>
      <c r="G7" s="12" t="n"/>
      <c r="H7" s="12" t="n"/>
      <c r="I7" s="12" t="n"/>
      <c r="J7" s="12" t="n"/>
      <c r="K7" s="12" t="n"/>
      <c r="L7" s="12" t="n"/>
      <c r="M7" s="12" t="n"/>
      <c r="N7" s="12" t="n"/>
    </row>
    <row r="8">
      <c r="A8" s="13" t="inlineStr">
        <is>
          <t>Physical controls protect technology assets from unauthorised access and environmental threats. Expect multi-layered access, CCTV, environmental monitoring. Physical compromise bypasses logical controls.</t>
        </is>
      </c>
      <c r="B8" s="14" t="n"/>
      <c r="C8" s="14" t="n"/>
      <c r="D8" s="14" t="n"/>
      <c r="E8" s="14" t="n"/>
      <c r="F8" s="14" t="n"/>
      <c r="G8" s="14" t="n"/>
      <c r="H8" s="14" t="n"/>
      <c r="I8" s="14" t="n"/>
      <c r="J8" s="14" t="n"/>
      <c r="K8" s="14" t="n"/>
      <c r="L8" s="14" t="n"/>
      <c r="M8" s="14" t="n"/>
      <c r="N8" s="14" t="n"/>
    </row>
    <row r="9">
      <c r="A9" s="15" t="inlineStr">
        <is>
          <t>App7-D1(b)</t>
        </is>
      </c>
      <c r="B9" s="15" t="inlineStr">
        <is>
          <t>PD-02</t>
        </is>
      </c>
      <c r="C9" s="15" t="inlineStr">
        <is>
          <t>ORG</t>
        </is>
      </c>
      <c r="D9" s="15" t="inlineStr">
        <is>
          <t>Physical Security</t>
        </is>
      </c>
      <c r="E9" s="15" t="inlineStr">
        <is>
          <t>Physical access controls and environmental protection for technology assets</t>
        </is>
      </c>
      <c r="F9" s="15" t="inlineStr"/>
      <c r="G9" s="15" t="inlineStr"/>
      <c r="H9" s="15" t="inlineStr"/>
      <c r="I9" s="15" t="inlineStr"/>
      <c r="J9" s="15" t="inlineStr"/>
      <c r="K9" s="15" t="inlineStr"/>
      <c r="L9" s="15" t="inlineStr"/>
      <c r="M9" s="16" t="inlineStr"/>
      <c r="N9" s="16" t="inlineStr"/>
    </row>
    <row r="10">
      <c r="A10" s="7" t="inlineStr">
        <is>
          <t>App7-D1(b)(i)</t>
        </is>
      </c>
      <c r="B10" s="7" t="inlineStr">
        <is>
          <t>PD-02.1</t>
        </is>
      </c>
      <c r="C10" s="7" t="inlineStr"/>
      <c r="D10" s="7" t="inlineStr"/>
      <c r="E10" s="7" t="inlineStr">
        <is>
          <t>Physical security controls</t>
        </is>
      </c>
      <c r="F10" s="7" t="inlineStr">
        <is>
          <t>1. Identify all sensitive areas (data centres, server rooms, network rooms).
2. Verify multi-layered physical access controls (badge, biometric, PIN).
3. Review visitor management procedures.
4. Verify CCTV coverage with minimum 90-day retention.
5. Sample-check physical access logs against approved access lists.</t>
        </is>
      </c>
      <c r="G10" s="7" t="inlineStr">
        <is>
          <t>Physical security policy; Access control system config; Visitor logs; CCTV coverage map; Physical access log reconciliation</t>
        </is>
      </c>
      <c r="H10" s="7" t="inlineStr">
        <is>
          <t>Inspection / Observation</t>
        </is>
      </c>
      <c r="I10" s="7" t="inlineStr"/>
      <c r="J10" s="7" t="inlineStr"/>
      <c r="K10" s="7" t="inlineStr"/>
      <c r="L10" s="7" t="inlineStr"/>
      <c r="M10" s="7" t="inlineStr"/>
      <c r="N10" s="7" t="inlineStr"/>
    </row>
    <row r="11">
      <c r="A11" s="7" t="inlineStr">
        <is>
          <t>App7-D1(b)(ii)</t>
        </is>
      </c>
      <c r="B11" s="7" t="inlineStr">
        <is>
          <t>PD-02.2</t>
        </is>
      </c>
      <c r="C11" s="7" t="inlineStr"/>
      <c r="D11" s="7" t="inlineStr"/>
      <c r="E11" s="7" t="inlineStr">
        <is>
          <t>Environmental controls</t>
        </is>
      </c>
      <c r="F11" s="7" t="inlineStr">
        <is>
          <t>1. Verify fire detection and suppression systems are current on inspections.
2. Check water leak detection.
3. Verify temperature and humidity monitoring with alerts.
4. Confirm environmental incident response procedures are tested.</t>
        </is>
      </c>
      <c r="G11" s="7" t="inlineStr">
        <is>
          <t>Fire system inspection certificates; Water leak detection layout; Environmental monitoring dashboards; Incident response test records</t>
        </is>
      </c>
      <c r="H11" s="7" t="inlineStr">
        <is>
          <t>Inspection / Observation</t>
        </is>
      </c>
      <c r="I11" s="7" t="inlineStr"/>
      <c r="J11" s="7" t="inlineStr"/>
      <c r="K11" s="7" t="inlineStr"/>
      <c r="L11" s="7" t="inlineStr"/>
      <c r="M11" s="7" t="inlineStr"/>
      <c r="N11" s="7" t="inlineStr"/>
    </row>
    <row r="12">
      <c r="A12" s="11" t="inlineStr">
        <is>
          <t>Item 1(c) — Operations Security</t>
        </is>
      </c>
      <c r="B12" s="12" t="n"/>
      <c r="C12" s="12" t="n"/>
      <c r="D12" s="12" t="n"/>
      <c r="E12" s="12" t="n"/>
      <c r="F12" s="12" t="n"/>
      <c r="G12" s="12" t="n"/>
      <c r="H12" s="12" t="n"/>
      <c r="I12" s="12" t="n"/>
      <c r="J12" s="12" t="n"/>
      <c r="K12" s="12" t="n"/>
      <c r="L12" s="12" t="n"/>
      <c r="M12" s="12" t="n"/>
      <c r="N12" s="12" t="n"/>
    </row>
    <row r="13">
      <c r="A13" s="13" t="inlineStr">
        <is>
          <t>Operational controls ensure systems are managed securely. Expect documented procedures, controlled changes, tested backups, malware protection, vulnerability management. Operational failures cause avoidable incidents.</t>
        </is>
      </c>
      <c r="B13" s="14" t="n"/>
      <c r="C13" s="14" t="n"/>
      <c r="D13" s="14" t="n"/>
      <c r="E13" s="14" t="n"/>
      <c r="F13" s="14" t="n"/>
      <c r="G13" s="14" t="n"/>
      <c r="H13" s="14" t="n"/>
      <c r="I13" s="14" t="n"/>
      <c r="J13" s="14" t="n"/>
      <c r="K13" s="14" t="n"/>
      <c r="L13" s="14" t="n"/>
      <c r="M13" s="14" t="n"/>
      <c r="N13" s="14" t="n"/>
    </row>
    <row r="14">
      <c r="A14" s="15" t="inlineStr">
        <is>
          <t>App7-D1(c)</t>
        </is>
      </c>
      <c r="B14" s="15" t="inlineStr">
        <is>
          <t>PD-03</t>
        </is>
      </c>
      <c r="C14" s="15" t="inlineStr">
        <is>
          <t>ORG</t>
        </is>
      </c>
      <c r="D14" s="15" t="inlineStr">
        <is>
          <t>Operations Security</t>
        </is>
      </c>
      <c r="E14" s="15" t="inlineStr">
        <is>
          <t>Operational procedures, change management, backup, malware protection, and vulnerability management</t>
        </is>
      </c>
      <c r="F14" s="15" t="inlineStr"/>
      <c r="G14" s="15" t="inlineStr"/>
      <c r="H14" s="15" t="inlineStr"/>
      <c r="I14" s="15" t="inlineStr"/>
      <c r="J14" s="15" t="inlineStr"/>
      <c r="K14" s="15" t="inlineStr"/>
      <c r="L14" s="15" t="inlineStr"/>
      <c r="M14" s="16" t="inlineStr"/>
      <c r="N14" s="16" t="inlineStr"/>
    </row>
    <row r="15">
      <c r="A15" s="7" t="inlineStr">
        <is>
          <t>App7-D1(c)(i)</t>
        </is>
      </c>
      <c r="B15" s="7" t="inlineStr">
        <is>
          <t>PD-03.1</t>
        </is>
      </c>
      <c r="C15" s="7" t="inlineStr"/>
      <c r="D15" s="7" t="inlineStr"/>
      <c r="E15" s="7" t="inlineStr">
        <is>
          <t>Operational procedures and controls</t>
        </is>
      </c>
      <c r="F15" s="7" t="inlineStr">
        <is>
          <t>1. Obtain documented operating procedures (change mgmt, capacity mgmt, backup, malware protection).
2. Verify change management — sample 10 changes with full lifecycle.
3. Verify backup procedures — confirm critical systems backed up and restore tested.
4. Verify anti-malware deployed with current signatures.</t>
        </is>
      </c>
      <c r="G15" s="7" t="inlineStr">
        <is>
          <t>Operating procedures; 10 sampled change records; Backup schedule and restore test results; Anti-malware deployment reports</t>
        </is>
      </c>
      <c r="H15" s="7" t="inlineStr">
        <is>
          <t>Inspection</t>
        </is>
      </c>
      <c r="I15" s="7" t="inlineStr"/>
      <c r="J15" s="7" t="inlineStr"/>
      <c r="K15" s="7" t="inlineStr"/>
      <c r="L15" s="7" t="inlineStr"/>
      <c r="M15" s="7" t="inlineStr"/>
      <c r="N15" s="7" t="inlineStr"/>
    </row>
    <row r="16">
      <c r="A16" s="7" t="inlineStr">
        <is>
          <t>App7-D1(c)(ii)</t>
        </is>
      </c>
      <c r="B16" s="7" t="inlineStr">
        <is>
          <t>PD-03.2</t>
        </is>
      </c>
      <c r="C16" s="7" t="inlineStr"/>
      <c r="D16" s="7" t="inlineStr"/>
      <c r="E16" s="7" t="inlineStr">
        <is>
          <t>Vulnerability management and patching</t>
        </is>
      </c>
      <c r="F16" s="7" t="inlineStr">
        <is>
          <t>1. Obtain vulnerability management policy and patching SLAs.
2. Review most recent vulnerability scan results.
3. Check patch compliance rates.
4. Verify exceptions are formally risk-accepted.</t>
        </is>
      </c>
      <c r="G16" s="7" t="inlineStr">
        <is>
          <t>Vulnerability management policy; Scan reports; Patch compliance dashboard; Risk acceptance records</t>
        </is>
      </c>
      <c r="H16" s="7" t="inlineStr">
        <is>
          <t>Inspection</t>
        </is>
      </c>
      <c r="I16" s="7" t="inlineStr"/>
      <c r="J16" s="7" t="inlineStr"/>
      <c r="K16" s="7" t="inlineStr"/>
      <c r="L16" s="7" t="inlineStr"/>
      <c r="M16" s="7" t="inlineStr"/>
      <c r="N16" s="7" t="inlineStr"/>
    </row>
    <row r="17">
      <c r="A17" s="11" t="inlineStr">
        <is>
          <t>Item 1(d) — Communications Security</t>
        </is>
      </c>
      <c r="B17" s="12" t="n"/>
      <c r="C17" s="12" t="n"/>
      <c r="D17" s="12" t="n"/>
      <c r="E17" s="12" t="n"/>
      <c r="F17" s="12" t="n"/>
      <c r="G17" s="12" t="n"/>
      <c r="H17" s="12" t="n"/>
      <c r="I17" s="12" t="n"/>
      <c r="J17" s="12" t="n"/>
      <c r="K17" s="12" t="n"/>
      <c r="L17" s="12" t="n"/>
      <c r="M17" s="12" t="n"/>
      <c r="N17" s="12" t="n"/>
    </row>
    <row r="18">
      <c r="A18" s="13" t="inlineStr">
        <is>
          <t>Network controls protect data in transit and network integrity. Expect segmentation, least-privilege firewall rules, encryption, IDS/IPS. Network compromise provides access to all connected systems.</t>
        </is>
      </c>
      <c r="B18" s="14" t="n"/>
      <c r="C18" s="14" t="n"/>
      <c r="D18" s="14" t="n"/>
      <c r="E18" s="14" t="n"/>
      <c r="F18" s="14" t="n"/>
      <c r="G18" s="14" t="n"/>
      <c r="H18" s="14" t="n"/>
      <c r="I18" s="14" t="n"/>
      <c r="J18" s="14" t="n"/>
      <c r="K18" s="14" t="n"/>
      <c r="L18" s="14" t="n"/>
      <c r="M18" s="14" t="n"/>
      <c r="N18" s="14" t="n"/>
    </row>
    <row r="19">
      <c r="A19" s="15" t="inlineStr">
        <is>
          <t>App7-D1(d)</t>
        </is>
      </c>
      <c r="B19" s="15" t="inlineStr">
        <is>
          <t>PD-04</t>
        </is>
      </c>
      <c r="C19" s="15" t="inlineStr">
        <is>
          <t>ORG</t>
        </is>
      </c>
      <c r="D19" s="15" t="inlineStr">
        <is>
          <t>Communications Security</t>
        </is>
      </c>
      <c r="E19" s="15" t="inlineStr">
        <is>
          <t>Network security, segmentation, encryption of data in transit, and intrusion detection</t>
        </is>
      </c>
      <c r="F19" s="15" t="inlineStr"/>
      <c r="G19" s="15" t="inlineStr"/>
      <c r="H19" s="15" t="inlineStr"/>
      <c r="I19" s="15" t="inlineStr"/>
      <c r="J19" s="15" t="inlineStr"/>
      <c r="K19" s="15" t="inlineStr"/>
      <c r="L19" s="15" t="inlineStr"/>
      <c r="M19" s="16" t="inlineStr"/>
      <c r="N19" s="16" t="inlineStr"/>
    </row>
    <row r="20">
      <c r="A20" s="7" t="inlineStr">
        <is>
          <t>App7-D1(d)(i)</t>
        </is>
      </c>
      <c r="B20" s="7" t="inlineStr">
        <is>
          <t>PD-04.1</t>
        </is>
      </c>
      <c r="C20" s="7" t="inlineStr"/>
      <c r="D20" s="7" t="inlineStr"/>
      <c r="E20" s="7" t="inlineStr">
        <is>
          <t>Network security and secure communications</t>
        </is>
      </c>
      <c r="F20" s="7" t="inlineStr">
        <is>
          <t>1. Review network segmentation.
2. Verify firewall rules — sample 20 rules for least-privilege.
3. Confirm encryption of data in transit (TLS 1.2+).
4. Verify secure configuration of email, messaging, file transfer.
5. Check IDS/IPS deployed at critical boundaries.</t>
        </is>
      </c>
      <c r="G20" s="7" t="inlineStr">
        <is>
          <t>Network architecture diagram; Firewall rule base sample; TLS configuration; IDS/IPS deployment and alert records</t>
        </is>
      </c>
      <c r="H20" s="7" t="inlineStr">
        <is>
          <t>Inspection</t>
        </is>
      </c>
      <c r="I20" s="7" t="inlineStr"/>
      <c r="J20" s="7" t="inlineStr"/>
      <c r="K20" s="7" t="inlineStr"/>
      <c r="L20" s="7" t="inlineStr"/>
      <c r="M20" s="7" t="inlineStr"/>
      <c r="N20" s="7" t="inlineStr"/>
    </row>
    <row r="21">
      <c r="A21" s="11" t="inlineStr">
        <is>
          <t>Item 1(e) — Incident Management</t>
        </is>
      </c>
      <c r="B21" s="12" t="n"/>
      <c r="C21" s="12" t="n"/>
      <c r="D21" s="12" t="n"/>
      <c r="E21" s="12" t="n"/>
      <c r="F21" s="12" t="n"/>
      <c r="G21" s="12" t="n"/>
      <c r="H21" s="12" t="n"/>
      <c r="I21" s="12" t="n"/>
      <c r="J21" s="12" t="n"/>
      <c r="K21" s="12" t="n"/>
      <c r="L21" s="12" t="n"/>
      <c r="M21" s="12" t="n"/>
      <c r="N21" s="12" t="n"/>
    </row>
    <row r="22">
      <c r="A22" s="13" t="inlineStr">
        <is>
          <t>Incident management ensures timely detection, response, and recovery. Expect 24/7 SOC, SIEM, IR playbooks, annual exercises. Without incident management, breaches escalate unchecked.</t>
        </is>
      </c>
      <c r="B22" s="14" t="n"/>
      <c r="C22" s="14" t="n"/>
      <c r="D22" s="14" t="n"/>
      <c r="E22" s="14" t="n"/>
      <c r="F22" s="14" t="n"/>
      <c r="G22" s="14" t="n"/>
      <c r="H22" s="14" t="n"/>
      <c r="I22" s="14" t="n"/>
      <c r="J22" s="14" t="n"/>
      <c r="K22" s="14" t="n"/>
      <c r="L22" s="14" t="n"/>
      <c r="M22" s="14" t="n"/>
      <c r="N22" s="14" t="n"/>
    </row>
    <row r="23">
      <c r="A23" s="15" t="inlineStr">
        <is>
          <t>App7-D1(e)</t>
        </is>
      </c>
      <c r="B23" s="15" t="inlineStr">
        <is>
          <t>PD-05</t>
        </is>
      </c>
      <c r="C23" s="15" t="inlineStr">
        <is>
          <t>ORG</t>
        </is>
      </c>
      <c r="D23" s="15" t="inlineStr">
        <is>
          <t>Incident Management</t>
        </is>
      </c>
      <c r="E23" s="15" t="inlineStr">
        <is>
          <t>Incident detection, classification, response, RCA, and regulatory notification</t>
        </is>
      </c>
      <c r="F23" s="15" t="inlineStr"/>
      <c r="G23" s="15" t="inlineStr"/>
      <c r="H23" s="15" t="inlineStr"/>
      <c r="I23" s="15" t="inlineStr"/>
      <c r="J23" s="15" t="inlineStr"/>
      <c r="K23" s="15" t="inlineStr"/>
      <c r="L23" s="15" t="inlineStr"/>
      <c r="M23" s="16" t="inlineStr"/>
      <c r="N23" s="16" t="inlineStr"/>
    </row>
    <row r="24">
      <c r="A24" s="7" t="inlineStr">
        <is>
          <t>App7-D1(e)(i)</t>
        </is>
      </c>
      <c r="B24" s="7" t="inlineStr">
        <is>
          <t>PD-05.1</t>
        </is>
      </c>
      <c r="C24" s="7" t="inlineStr"/>
      <c r="D24" s="7" t="inlineStr"/>
      <c r="E24" s="7" t="inlineStr">
        <is>
          <t>Incident management framework</t>
        </is>
      </c>
      <c r="F24" s="7" t="inlineStr">
        <is>
          <t>1. Obtain incident management policy and procedures.
2. Verify incident classification scheme.
3. Review incident log for past 12 months.
4. Verify RCA for significant incidents with corrective actions.
5. Confirm regulatory notification procedures.</t>
        </is>
      </c>
      <c r="G24" s="7" t="inlineStr">
        <is>
          <t>Incident management policy; Classification matrix; Incident log (12 months); RCA reports; Regulatory notification records</t>
        </is>
      </c>
      <c r="H24" s="7" t="inlineStr">
        <is>
          <t>Inspection</t>
        </is>
      </c>
      <c r="I24" s="7" t="inlineStr"/>
      <c r="J24" s="7" t="inlineStr"/>
      <c r="K24" s="7" t="inlineStr"/>
      <c r="L24" s="7" t="inlineStr"/>
      <c r="M24" s="7" t="inlineStr"/>
      <c r="N24" s="7" t="inlineStr"/>
    </row>
    <row r="25">
      <c r="A25" s="7" t="inlineStr">
        <is>
          <t>App7-D1(e)(ii)</t>
        </is>
      </c>
      <c r="B25" s="7" t="inlineStr">
        <is>
          <t>PD-05.2</t>
        </is>
      </c>
      <c r="C25" s="7" t="inlineStr"/>
      <c r="D25" s="7" t="inlineStr"/>
      <c r="E25" s="7" t="inlineStr">
        <is>
          <t>Detection and response capabilities</t>
        </is>
      </c>
      <c r="F25" s="7" t="inlineStr">
        <is>
          <t>1. Confirm SOC operates 24/7.
2. Verify SIEM deployment with critical log sources.
3. Sample 15 alerts — verify triage.
4. Confirm IR playbooks for common scenarios.
5. Verify annual IR drills/tabletop exercises.</t>
        </is>
      </c>
      <c r="G25" s="7" t="inlineStr">
        <is>
          <t>SOC operational documentation; SIEM log source inventory; 15 sampled alert records; IR playbooks; Drill/tabletop reports</t>
        </is>
      </c>
      <c r="H25" s="7" t="inlineStr">
        <is>
          <t>Inspection / Inquiry</t>
        </is>
      </c>
      <c r="I25" s="7" t="inlineStr"/>
      <c r="J25" s="7" t="inlineStr"/>
      <c r="K25" s="7" t="inlineStr"/>
      <c r="L25" s="7" t="inlineStr"/>
      <c r="M25" s="7" t="inlineStr"/>
      <c r="N25" s="7" t="inlineStr"/>
    </row>
    <row r="26">
      <c r="A26" s="11" t="inlineStr">
        <is>
          <t>Item 1(f) — Business Continuity</t>
        </is>
      </c>
      <c r="B26" s="12" t="n"/>
      <c r="C26" s="12" t="n"/>
      <c r="D26" s="12" t="n"/>
      <c r="E26" s="12" t="n"/>
      <c r="F26" s="12" t="n"/>
      <c r="G26" s="12" t="n"/>
      <c r="H26" s="12" t="n"/>
      <c r="I26" s="12" t="n"/>
      <c r="J26" s="12" t="n"/>
      <c r="K26" s="12" t="n"/>
      <c r="L26" s="12" t="n"/>
      <c r="M26" s="12" t="n"/>
      <c r="N26" s="12" t="n"/>
    </row>
    <row r="27">
      <c r="A27" s="13" t="inlineStr">
        <is>
          <t>Business continuity ensures operations continue during disruptions. Expect BCP/DRP with cyber scenarios, tested DR including security controls, redundant security infrastructure. Untested DR fails when needed.</t>
        </is>
      </c>
      <c r="B27" s="14" t="n"/>
      <c r="C27" s="14" t="n"/>
      <c r="D27" s="14" t="n"/>
      <c r="E27" s="14" t="n"/>
      <c r="F27" s="14" t="n"/>
      <c r="G27" s="14" t="n"/>
      <c r="H27" s="14" t="n"/>
      <c r="I27" s="14" t="n"/>
      <c r="J27" s="14" t="n"/>
      <c r="K27" s="14" t="n"/>
      <c r="L27" s="14" t="n"/>
      <c r="M27" s="14" t="n"/>
      <c r="N27" s="14" t="n"/>
    </row>
    <row r="28">
      <c r="A28" s="15" t="inlineStr">
        <is>
          <t>App7-D1(f)</t>
        </is>
      </c>
      <c r="B28" s="15" t="inlineStr">
        <is>
          <t>PD-06</t>
        </is>
      </c>
      <c r="C28" s="15" t="inlineStr">
        <is>
          <t>ORG</t>
        </is>
      </c>
      <c r="D28" s="15" t="inlineStr">
        <is>
          <t>Business Continuity</t>
        </is>
      </c>
      <c r="E28" s="15" t="inlineStr">
        <is>
          <t>Security in BCP/DRP, DR testing with security controls, and redundancy of security infrastructure</t>
        </is>
      </c>
      <c r="F28" s="15" t="inlineStr"/>
      <c r="G28" s="15" t="inlineStr"/>
      <c r="H28" s="15" t="inlineStr"/>
      <c r="I28" s="15" t="inlineStr"/>
      <c r="J28" s="15" t="inlineStr"/>
      <c r="K28" s="15" t="inlineStr"/>
      <c r="L28" s="15" t="inlineStr"/>
      <c r="M28" s="16" t="inlineStr"/>
      <c r="N28" s="16" t="inlineStr"/>
    </row>
    <row r="29">
      <c r="A29" s="7" t="inlineStr">
        <is>
          <t>App7-D1(f)(i)</t>
        </is>
      </c>
      <c r="B29" s="7" t="inlineStr">
        <is>
          <t>PD-06.1</t>
        </is>
      </c>
      <c r="C29" s="7" t="inlineStr"/>
      <c r="D29" s="7" t="inlineStr"/>
      <c r="E29" s="7" t="inlineStr">
        <is>
          <t>Security in BCP/DRP</t>
        </is>
      </c>
      <c r="F29" s="7" t="inlineStr">
        <is>
          <t>1. Obtain BCP and IT DRP.
2. Verify security requirements addressed in BCP/DRP.
3. Check BCP/DRP includes cyber incident scenarios.
4. Verify recovery procedures include security validation.</t>
        </is>
      </c>
      <c r="G29" s="7" t="inlineStr">
        <is>
          <t>BCP and IT DRP; Security requirements in BCP/DRP; Cyber incident scenarios; Recovery security validation checklists</t>
        </is>
      </c>
      <c r="H29" s="7" t="inlineStr">
        <is>
          <t>Inspection</t>
        </is>
      </c>
      <c r="I29" s="7" t="inlineStr"/>
      <c r="J29" s="7" t="inlineStr"/>
      <c r="K29" s="7" t="inlineStr"/>
      <c r="L29" s="7" t="inlineStr"/>
      <c r="M29" s="7" t="inlineStr"/>
      <c r="N29" s="7" t="inlineStr"/>
    </row>
    <row r="30">
      <c r="A30" s="7" t="inlineStr">
        <is>
          <t>App7-D1(f)(ii)</t>
        </is>
      </c>
      <c r="B30" s="7" t="inlineStr">
        <is>
          <t>PD-06.2</t>
        </is>
      </c>
      <c r="C30" s="7" t="inlineStr"/>
      <c r="D30" s="7" t="inlineStr"/>
      <c r="E30" s="7" t="inlineStr">
        <is>
          <t>BCP/DRP testing with security controls</t>
        </is>
      </c>
      <c r="F30" s="7" t="inlineStr">
        <is>
          <t>1. Review most recent BCP/DRP test.
2. Verify security controls tested during DR exercise.
3. Confirm security findings remediated.
4. Verify DR site maintains equivalent security posture.</t>
        </is>
      </c>
      <c r="G30" s="7" t="inlineStr">
        <is>
          <t>BCP/DRP test plan and results; Security test components; DR site security assessment; Remediation tracker</t>
        </is>
      </c>
      <c r="H30" s="7" t="inlineStr">
        <is>
          <t>Inspection</t>
        </is>
      </c>
      <c r="I30" s="7" t="inlineStr"/>
      <c r="J30" s="7" t="inlineStr"/>
      <c r="K30" s="7" t="inlineStr"/>
      <c r="L30" s="7" t="inlineStr"/>
      <c r="M30" s="7" t="inlineStr"/>
      <c r="N30" s="7" t="inlineStr"/>
    </row>
    <row r="31">
      <c r="A31" s="7" t="inlineStr">
        <is>
          <t>App7-D1(f)(iii)</t>
        </is>
      </c>
      <c r="B31" s="7" t="inlineStr">
        <is>
          <t>PD-06.3</t>
        </is>
      </c>
      <c r="C31" s="7" t="inlineStr"/>
      <c r="D31" s="7" t="inlineStr"/>
      <c r="E31" s="7" t="inlineStr">
        <is>
          <t>Redundancy of security infrastructure</t>
        </is>
      </c>
      <c r="F31" s="7" t="inlineStr">
        <is>
          <t>1. Identify critical security infrastructure and verify HA configuration.
2. Confirm failover tested.
3. Verify monitoring continues during DR.
4. Check licenses valid at DR site.</t>
        </is>
      </c>
      <c r="G31" s="7" t="inlineStr">
        <is>
          <t>Security infrastructure HA architecture; Failover test records; DR monitoring evidence; License/subscription records</t>
        </is>
      </c>
      <c r="H31" s="7" t="inlineStr">
        <is>
          <t>Inspection</t>
        </is>
      </c>
      <c r="I31" s="7" t="inlineStr"/>
      <c r="J31" s="7" t="inlineStr"/>
      <c r="K31" s="7" t="inlineStr"/>
      <c r="L31" s="7" t="inlineStr"/>
      <c r="M31" s="7" t="inlineStr"/>
      <c r="N31" s="7" t="inlineStr"/>
    </row>
    <row r="32">
      <c r="A32" s="11" t="inlineStr">
        <is>
          <t>Item 2(a) — Customer Identity Authentication</t>
        </is>
      </c>
      <c r="B32" s="12" t="n"/>
      <c r="C32" s="12" t="n"/>
      <c r="D32" s="12" t="n"/>
      <c r="E32" s="12" t="n"/>
      <c r="F32" s="12" t="n"/>
      <c r="G32" s="12" t="n"/>
      <c r="H32" s="12" t="n"/>
      <c r="I32" s="12" t="n"/>
      <c r="J32" s="12" t="n"/>
      <c r="K32" s="12" t="n"/>
      <c r="L32" s="12" t="n"/>
      <c r="M32" s="12" t="n"/>
      <c r="N32" s="12" t="n"/>
    </row>
    <row r="33">
      <c r="A33" s="13" t="inlineStr">
        <is>
          <t>Customer authentication protects online services from unauthorised access. Expect MFA, secure sessions, strong cryptography, anti-session-fixation. Weak authentication directly exposes customers.</t>
        </is>
      </c>
      <c r="B33" s="14" t="n"/>
      <c r="C33" s="14" t="n"/>
      <c r="D33" s="14" t="n"/>
      <c r="E33" s="14" t="n"/>
      <c r="F33" s="14" t="n"/>
      <c r="G33" s="14" t="n"/>
      <c r="H33" s="14" t="n"/>
      <c r="I33" s="14" t="n"/>
      <c r="J33" s="14" t="n"/>
      <c r="K33" s="14" t="n"/>
      <c r="L33" s="14" t="n"/>
      <c r="M33" s="14" t="n"/>
      <c r="N33" s="14" t="n"/>
    </row>
    <row r="34">
      <c r="A34" s="15" t="inlineStr">
        <is>
          <t>App7-D2(a)</t>
        </is>
      </c>
      <c r="B34" s="15" t="inlineStr">
        <is>
          <t>PD-07</t>
        </is>
      </c>
      <c r="C34" s="15" t="inlineStr">
        <is>
          <t>WORKLOAD</t>
        </is>
      </c>
      <c r="D34" s="15" t="inlineStr">
        <is>
          <t>Customer Authentication</t>
        </is>
      </c>
      <c r="E34" s="15" t="inlineStr">
        <is>
          <t>Session protection, MFA, credential storage, and cryptographic implementation</t>
        </is>
      </c>
      <c r="F34" s="15" t="inlineStr"/>
      <c r="G34" s="15" t="inlineStr"/>
      <c r="H34" s="15" t="inlineStr"/>
      <c r="I34" s="15" t="inlineStr"/>
      <c r="J34" s="15" t="inlineStr"/>
      <c r="K34" s="15" t="inlineStr"/>
      <c r="L34" s="15" t="inlineStr"/>
      <c r="M34" s="16" t="inlineStr"/>
      <c r="N34" s="16" t="inlineStr"/>
    </row>
    <row r="35">
      <c r="A35" s="7" t="inlineStr">
        <is>
          <t>App7-D2(a)(i)</t>
        </is>
      </c>
      <c r="B35" s="7" t="inlineStr">
        <is>
          <t>PD-07.1</t>
        </is>
      </c>
      <c r="C35" s="7" t="inlineStr"/>
      <c r="D35" s="7" t="inlineStr"/>
      <c r="E35" s="7" t="inlineStr">
        <is>
          <t>Session and MITM protection</t>
        </is>
      </c>
      <c r="F35" s="7" t="inlineStr">
        <is>
          <t>1. Review session management controls.
2. Verify TLS 1.2+, HSTS, certificate validity.
3. Confirm session tokens are cryptographically random with proper expiry.
4. Check anti-session-fixation controls.
5. Verify certificate pinning for mobile apps.</t>
        </is>
      </c>
      <c r="G35" s="7" t="inlineStr">
        <is>
          <t>TLS scan results; Session management config; Application security assessment; Mobile cert pinning evidence</t>
        </is>
      </c>
      <c r="H35" s="7" t="inlineStr">
        <is>
          <t>Inspection</t>
        </is>
      </c>
      <c r="I35" s="7" t="inlineStr"/>
      <c r="J35" s="7" t="inlineStr"/>
      <c r="K35" s="7" t="inlineStr"/>
      <c r="L35" s="7" t="inlineStr"/>
      <c r="M35" s="7" t="inlineStr"/>
      <c r="N35" s="7" t="inlineStr"/>
    </row>
    <row r="36">
      <c r="A36" s="7" t="inlineStr">
        <is>
          <t>App7-D2(a)(ii)</t>
        </is>
      </c>
      <c r="B36" s="7" t="inlineStr">
        <is>
          <t>PD-07.2</t>
        </is>
      </c>
      <c r="C36" s="7" t="inlineStr"/>
      <c r="D36" s="7" t="inlineStr"/>
      <c r="E36" s="7" t="inlineStr">
        <is>
          <t>Internal controls for online systems</t>
        </is>
      </c>
      <c r="F36" s="7" t="inlineStr">
        <is>
          <t>1. Verify application hardening.
2. Review app security testing results (SAST, DAST, pen test).
3. Confirm database security controls.
4. Check segmentation from corporate network.</t>
        </is>
      </c>
      <c r="G36" s="7" t="inlineStr">
        <is>
          <t>Hardening standards; App security test reports; Database security config; Network segmentation evidence</t>
        </is>
      </c>
      <c r="H36" s="7" t="inlineStr">
        <is>
          <t>Inspection</t>
        </is>
      </c>
      <c r="I36" s="7" t="inlineStr"/>
      <c r="J36" s="7" t="inlineStr"/>
      <c r="K36" s="7" t="inlineStr"/>
      <c r="L36" s="7" t="inlineStr"/>
      <c r="M36" s="7" t="inlineStr"/>
      <c r="N36" s="7" t="inlineStr"/>
    </row>
    <row r="37">
      <c r="A37" s="7" t="inlineStr">
        <is>
          <t>App7-D2(a)(iii)</t>
        </is>
      </c>
      <c r="B37" s="7" t="inlineStr">
        <is>
          <t>PD-07.3</t>
        </is>
      </c>
      <c r="C37" s="7" t="inlineStr"/>
      <c r="D37" s="7" t="inlineStr"/>
      <c r="E37" s="7" t="inlineStr">
        <is>
          <t>Multi-level authentication</t>
        </is>
      </c>
      <c r="F37" s="7" t="inlineStr">
        <is>
          <t>1. Review authentication architecture.
2. Verify MFA for login and high-risk transactions.
3. Check out-of-band authentication mechanisms.
4. Verify real-time verification for high-value transactions.
5. Assess authentication strength relative to transaction risk.</t>
        </is>
      </c>
      <c r="G37" s="7" t="inlineStr">
        <is>
          <t>Authentication architecture; MFA config; OTP/out-of-band mechanism; Risk-based authentication rules</t>
        </is>
      </c>
      <c r="H37" s="7" t="inlineStr">
        <is>
          <t>Inspection</t>
        </is>
      </c>
      <c r="I37" s="7" t="inlineStr"/>
      <c r="J37" s="7" t="inlineStr"/>
      <c r="K37" s="7" t="inlineStr"/>
      <c r="L37" s="7" t="inlineStr"/>
      <c r="M37" s="7" t="inlineStr"/>
      <c r="N37" s="7" t="inlineStr"/>
    </row>
    <row r="38">
      <c r="A38" s="7" t="inlineStr">
        <is>
          <t>App7-D2(a)(iv)</t>
        </is>
      </c>
      <c r="B38" s="7" t="inlineStr">
        <is>
          <t>PD-07.4</t>
        </is>
      </c>
      <c r="C38" s="7" t="inlineStr"/>
      <c r="D38" s="7" t="inlineStr"/>
      <c r="E38" s="7" t="inlineStr">
        <is>
          <t>Session handling and credential storage</t>
        </is>
      </c>
      <c r="F38" s="7" t="inlineStr">
        <is>
          <t>1. Verify session timeouts (idle and absolute).
2. Confirm concurrent session controls.
3. Verify credentials stored with strong hashing (bcrypt, Argon2).
4. Check auth database access-restricted and encrypted.
5. Review account lockout configuration.</t>
        </is>
      </c>
      <c r="G38" s="7" t="inlineStr">
        <is>
          <t>Session management config; Password hashing evidence; Auth database access controls; Account lockout config</t>
        </is>
      </c>
      <c r="H38" s="7" t="inlineStr">
        <is>
          <t>Inspection</t>
        </is>
      </c>
      <c r="I38" s="7" t="inlineStr"/>
      <c r="J38" s="7" t="inlineStr"/>
      <c r="K38" s="7" t="inlineStr"/>
      <c r="L38" s="7" t="inlineStr"/>
      <c r="M38" s="7" t="inlineStr"/>
      <c r="N38" s="7" t="inlineStr"/>
    </row>
    <row r="39">
      <c r="A39" s="7" t="inlineStr">
        <is>
          <t>App7-D2(a)(v)</t>
        </is>
      </c>
      <c r="B39" s="7" t="inlineStr">
        <is>
          <t>PD-07.5</t>
        </is>
      </c>
      <c r="C39" s="7" t="inlineStr"/>
      <c r="D39" s="7" t="inlineStr"/>
      <c r="E39" s="7" t="inlineStr">
        <is>
          <t>Cryptographic implementation</t>
        </is>
      </c>
      <c r="F39" s="7" t="inlineStr">
        <is>
          <t>1. Review cryptographic standards (AES-256, RSA-2048+, ECDSA P-256+).
2. Verify key management practices.
3. Check no deprecated algorithms.
4. Verify crypto implementation reviewed/tested.</t>
        </is>
      </c>
      <c r="G39" s="7" t="inlineStr">
        <is>
          <t>Cryptographic standards document; Key management procedures; HSM config; Crypto assessment results</t>
        </is>
      </c>
      <c r="H39" s="7" t="inlineStr">
        <is>
          <t>Inspection</t>
        </is>
      </c>
      <c r="I39" s="7" t="inlineStr"/>
      <c r="J39" s="7" t="inlineStr"/>
      <c r="K39" s="7" t="inlineStr"/>
      <c r="L39" s="7" t="inlineStr"/>
      <c r="M39" s="7" t="inlineStr"/>
      <c r="N39" s="7" t="inlineStr"/>
    </row>
    <row r="40">
      <c r="A40" s="11" t="inlineStr">
        <is>
          <t>Item 2(b) — Transaction Authentication</t>
        </is>
      </c>
      <c r="B40" s="12" t="n"/>
      <c r="C40" s="12" t="n"/>
      <c r="D40" s="12" t="n"/>
      <c r="E40" s="12" t="n"/>
      <c r="F40" s="12" t="n"/>
      <c r="G40" s="12" t="n"/>
      <c r="H40" s="12" t="n"/>
      <c r="I40" s="12" t="n"/>
      <c r="J40" s="12" t="n"/>
      <c r="K40" s="12" t="n"/>
      <c r="L40" s="12" t="n"/>
      <c r="M40" s="12" t="n"/>
      <c r="N40" s="12" t="n"/>
    </row>
    <row r="41">
      <c r="A41" s="13" t="inlineStr">
        <is>
          <t>Transaction authentication ensures non-repudiation and integrity. Expect transaction signing, tamper-evident audit trails, mutual authentication. Without non-repudiation, disputes cannot be resolved.</t>
        </is>
      </c>
      <c r="B41" s="14" t="n"/>
      <c r="C41" s="14" t="n"/>
      <c r="D41" s="14" t="n"/>
      <c r="E41" s="14" t="n"/>
      <c r="F41" s="14" t="n"/>
      <c r="G41" s="14" t="n"/>
      <c r="H41" s="14" t="n"/>
      <c r="I41" s="14" t="n"/>
      <c r="J41" s="14" t="n"/>
      <c r="K41" s="14" t="n"/>
      <c r="L41" s="14" t="n"/>
      <c r="M41" s="14" t="n"/>
      <c r="N41" s="14" t="n"/>
    </row>
    <row r="42">
      <c r="A42" s="15" t="inlineStr">
        <is>
          <t>App7-D2(b)</t>
        </is>
      </c>
      <c r="B42" s="15" t="inlineStr">
        <is>
          <t>PD-08</t>
        </is>
      </c>
      <c r="C42" s="15" t="inlineStr">
        <is>
          <t>WORKLOAD</t>
        </is>
      </c>
      <c r="D42" s="15" t="inlineStr">
        <is>
          <t>Transaction Authentication</t>
        </is>
      </c>
      <c r="E42" s="15" t="inlineStr">
        <is>
          <t>Proof of origin, integrity, secure delivery, and mutual authentication</t>
        </is>
      </c>
      <c r="F42" s="15" t="inlineStr"/>
      <c r="G42" s="15" t="inlineStr"/>
      <c r="H42" s="15" t="inlineStr"/>
      <c r="I42" s="15" t="inlineStr"/>
      <c r="J42" s="15" t="inlineStr"/>
      <c r="K42" s="15" t="inlineStr"/>
      <c r="L42" s="15" t="inlineStr"/>
      <c r="M42" s="16" t="inlineStr"/>
      <c r="N42" s="16" t="inlineStr"/>
    </row>
    <row r="43">
      <c r="A43" s="7" t="inlineStr">
        <is>
          <t>App7-D2(b)(i)</t>
        </is>
      </c>
      <c r="B43" s="7" t="inlineStr">
        <is>
          <t>PD-08.1</t>
        </is>
      </c>
      <c r="C43" s="7" t="inlineStr"/>
      <c r="D43" s="7" t="inlineStr"/>
      <c r="E43" s="7" t="inlineStr">
        <is>
          <t>Proof of origin and integrity</t>
        </is>
      </c>
      <c r="F43" s="7" t="inlineStr">
        <is>
          <t>1. Review transaction signing/MAC mechanisms.
2. Verify records include origin, timestamp, hash, integrity verification.
3. Confirm tamper-evident audit trails.
4. Check logs sufficient for dispute resolution.</t>
        </is>
      </c>
      <c r="G43" s="7" t="inlineStr">
        <is>
          <t>Transaction authentication mechanism; Sample transaction records; Audit trail controls; Log retention policy</t>
        </is>
      </c>
      <c r="H43" s="7" t="inlineStr">
        <is>
          <t>Inspection</t>
        </is>
      </c>
      <c r="I43" s="7" t="inlineStr"/>
      <c r="J43" s="7" t="inlineStr"/>
      <c r="K43" s="7" t="inlineStr"/>
      <c r="L43" s="7" t="inlineStr"/>
      <c r="M43" s="7" t="inlineStr"/>
      <c r="N43" s="7" t="inlineStr"/>
    </row>
    <row r="44">
      <c r="A44" s="7" t="inlineStr">
        <is>
          <t>App7-D2(b)(ii)</t>
        </is>
      </c>
      <c r="B44" s="7" t="inlineStr">
        <is>
          <t>PD-08.2</t>
        </is>
      </c>
      <c r="C44" s="7" t="inlineStr"/>
      <c r="D44" s="7" t="inlineStr"/>
      <c r="E44" s="7" t="inlineStr">
        <is>
          <t>Secure delivery and mutual authentication</t>
        </is>
      </c>
      <c r="F44" s="7" t="inlineStr">
        <is>
          <t>1. Verify delivery channel secured end-to-end.
2. Check alerts for high-risk transaction types.
3. Verify mutual authentication for B2B channels.
4. Review triggers for additional authentication.</t>
        </is>
      </c>
      <c r="G44" s="7" t="inlineStr">
        <is>
          <t>Channel security architecture; Transaction alert config; Mutual authentication implementation; Authentication trigger criteria</t>
        </is>
      </c>
      <c r="H44" s="7" t="inlineStr">
        <is>
          <t>Inspection</t>
        </is>
      </c>
      <c r="I44" s="7" t="inlineStr"/>
      <c r="J44" s="7" t="inlineStr"/>
      <c r="K44" s="7" t="inlineStr"/>
      <c r="L44" s="7" t="inlineStr"/>
      <c r="M44" s="7" t="inlineStr"/>
      <c r="N44" s="7" t="inlineStr"/>
    </row>
    <row r="45">
      <c r="A45" s="7" t="inlineStr">
        <is>
          <t>App7-D2(b)(iii)</t>
        </is>
      </c>
      <c r="B45" s="7" t="inlineStr">
        <is>
          <t>PD-08.3</t>
        </is>
      </c>
      <c r="C45" s="7" t="inlineStr"/>
      <c r="D45" s="7" t="inlineStr"/>
      <c r="E45" s="7" t="inlineStr">
        <is>
          <t>Transaction notification and confirmation</t>
        </is>
      </c>
      <c r="F45" s="7" t="inlineStr">
        <is>
          <t>1. Verify transaction notifications sent (push, SMS, email).
2. Confirm high-risk transactions trigger real-time alerts.
3. Check customer can dispute/report through notifications.
4. Verify notification delivery is reliable.</t>
        </is>
      </c>
      <c r="G45" s="7" t="inlineStr">
        <is>
          <t>Transaction notification config; Alert rules; Customer dispute channel; Notification delivery SLAs</t>
        </is>
      </c>
      <c r="H45" s="7" t="inlineStr">
        <is>
          <t>Inspection</t>
        </is>
      </c>
      <c r="I45" s="7" t="inlineStr"/>
      <c r="J45" s="7" t="inlineStr"/>
      <c r="K45" s="7" t="inlineStr"/>
      <c r="L45" s="7" t="inlineStr"/>
      <c r="M45" s="7" t="inlineStr"/>
      <c r="N45" s="7" t="inlineStr"/>
    </row>
    <row r="46">
      <c r="A46" s="7" t="inlineStr">
        <is>
          <t>App7-D2(b)(iv)</t>
        </is>
      </c>
      <c r="B46" s="7" t="inlineStr">
        <is>
          <t>PD-08.4</t>
        </is>
      </c>
      <c r="C46" s="7" t="inlineStr"/>
      <c r="D46" s="7" t="inlineStr"/>
      <c r="E46" s="7" t="inlineStr">
        <is>
          <t>Transaction binding and anti-replay</t>
        </is>
      </c>
      <c r="F46" s="7" t="inlineStr">
        <is>
          <t>1. Verify authentication tokens bound to specific transaction parameters.
2. Check anti-replay mechanisms (nonce, timestamp).
3. Verify OTP/TAC is single-use and expires within 2-5 minutes.
4. Confirm transaction cannot be modified after authentication.</t>
        </is>
      </c>
      <c r="G46" s="7" t="inlineStr">
        <is>
          <t>Transaction binding mechanism; Anti-replay controls; OTP/TAC config; Transaction immutability controls</t>
        </is>
      </c>
      <c r="H46" s="7" t="inlineStr">
        <is>
          <t>Inspection</t>
        </is>
      </c>
      <c r="I46" s="7" t="inlineStr"/>
      <c r="J46" s="7" t="inlineStr"/>
      <c r="K46" s="7" t="inlineStr"/>
      <c r="L46" s="7" t="inlineStr"/>
      <c r="M46" s="7" t="inlineStr"/>
      <c r="N46" s="7" t="inlineStr"/>
    </row>
    <row r="47">
      <c r="A47" s="11" t="inlineStr">
        <is>
          <t>Item 2(c) — Segregation of Duties</t>
        </is>
      </c>
      <c r="B47" s="12" t="n"/>
      <c r="C47" s="12" t="n"/>
      <c r="D47" s="12" t="n"/>
      <c r="E47" s="12" t="n"/>
      <c r="F47" s="12" t="n"/>
      <c r="G47" s="12" t="n"/>
      <c r="H47" s="12" t="n"/>
      <c r="I47" s="12" t="n"/>
      <c r="J47" s="12" t="n"/>
      <c r="K47" s="12" t="n"/>
      <c r="L47" s="12" t="n"/>
      <c r="M47" s="12" t="n"/>
      <c r="N47" s="12" t="n"/>
    </row>
    <row r="48">
      <c r="A48" s="13" t="inlineStr">
        <is>
          <t>SoD prevents single-person control over critical operations. Expect maker-checker, privileged user reviews, tamper-resistant authorisation. SoD failures enable fraud.</t>
        </is>
      </c>
      <c r="B48" s="14" t="n"/>
      <c r="C48" s="14" t="n"/>
      <c r="D48" s="14" t="n"/>
      <c r="E48" s="14" t="n"/>
      <c r="F48" s="14" t="n"/>
      <c r="G48" s="14" t="n"/>
      <c r="H48" s="14" t="n"/>
      <c r="I48" s="14" t="n"/>
      <c r="J48" s="14" t="n"/>
      <c r="K48" s="14" t="n"/>
      <c r="L48" s="14" t="n"/>
      <c r="M48" s="14" t="n"/>
      <c r="N48" s="14" t="n"/>
    </row>
    <row r="49">
      <c r="A49" s="15" t="inlineStr">
        <is>
          <t>App7-D2(c)</t>
        </is>
      </c>
      <c r="B49" s="15" t="inlineStr">
        <is>
          <t>PD-09</t>
        </is>
      </c>
      <c r="C49" s="15" t="inlineStr">
        <is>
          <t>WORKLOAD</t>
        </is>
      </c>
      <c r="D49" s="15" t="inlineStr">
        <is>
          <t>Segregation of Duties</t>
        </is>
      </c>
      <c r="E49" s="15" t="inlineStr">
        <is>
          <t>Dual control, maker-checker, and authorisation database integrity</t>
        </is>
      </c>
      <c r="F49" s="15" t="inlineStr"/>
      <c r="G49" s="15" t="inlineStr"/>
      <c r="H49" s="15" t="inlineStr"/>
      <c r="I49" s="15" t="inlineStr"/>
      <c r="J49" s="15" t="inlineStr"/>
      <c r="K49" s="15" t="inlineStr"/>
      <c r="L49" s="15" t="inlineStr"/>
      <c r="M49" s="16" t="inlineStr"/>
      <c r="N49" s="16" t="inlineStr"/>
    </row>
    <row r="50">
      <c r="A50" s="7" t="inlineStr">
        <is>
          <t>App7-D2(c)(i)</t>
        </is>
      </c>
      <c r="B50" s="7" t="inlineStr">
        <is>
          <t>PD-09.1</t>
        </is>
      </c>
      <c r="C50" s="7" t="inlineStr"/>
      <c r="D50" s="7" t="inlineStr"/>
      <c r="E50" s="7" t="inlineStr">
        <is>
          <t>Dual control for online transactions</t>
        </is>
      </c>
      <c r="F50" s="7" t="inlineStr">
        <is>
          <t>1. Identify critical functions in online transaction systems.
2. Verify maker-checker for critical operations.
3. Review access control matrices — no single user can initiate and approve.
4. Verify unauthorised access detection.</t>
        </is>
      </c>
      <c r="G50" s="7" t="inlineStr">
        <is>
          <t>Access control matrices; Maker-checker config; Dual control workflow; Unauthorised access detection controls</t>
        </is>
      </c>
      <c r="H50" s="7" t="inlineStr">
        <is>
          <t>Inspection</t>
        </is>
      </c>
      <c r="I50" s="7" t="inlineStr"/>
      <c r="J50" s="7" t="inlineStr"/>
      <c r="K50" s="7" t="inlineStr"/>
      <c r="L50" s="7" t="inlineStr"/>
      <c r="M50" s="7" t="inlineStr"/>
      <c r="N50" s="7" t="inlineStr"/>
    </row>
    <row r="51">
      <c r="A51" s="7" t="inlineStr">
        <is>
          <t>App7-D2(c)(ii)</t>
        </is>
      </c>
      <c r="B51" s="7" t="inlineStr">
        <is>
          <t>PD-09.2</t>
        </is>
      </c>
      <c r="C51" s="7" t="inlineStr"/>
      <c r="D51" s="7" t="inlineStr"/>
      <c r="E51" s="7" t="inlineStr">
        <is>
          <t>Authorisation database integrity</t>
        </is>
      </c>
      <c r="F51" s="7" t="inlineStr">
        <is>
          <t>1. Verify authorisation database is tamper-resistant.
2. Confirm changes require approval and are logged.
3. Obtain privileged user list — verify quarterly review.
4. Check reviews result in revocation of unnecessary access.</t>
        </is>
      </c>
      <c r="G51" s="7" t="inlineStr">
        <is>
          <t>Auth database access controls; Change logs; Privileged user review records; Revocation evidence</t>
        </is>
      </c>
      <c r="H51" s="7" t="inlineStr">
        <is>
          <t>Inspection</t>
        </is>
      </c>
      <c r="I51" s="7" t="inlineStr"/>
      <c r="J51" s="7" t="inlineStr"/>
      <c r="K51" s="7" t="inlineStr"/>
      <c r="L51" s="7" t="inlineStr"/>
      <c r="M51" s="7" t="inlineStr"/>
      <c r="N51" s="7" t="inlineStr"/>
    </row>
    <row r="52">
      <c r="A52" s="7" t="inlineStr">
        <is>
          <t>App7-D2(c)(iii)</t>
        </is>
      </c>
      <c r="B52" s="7" t="inlineStr">
        <is>
          <t>PD-09.3</t>
        </is>
      </c>
      <c r="C52" s="7" t="inlineStr"/>
      <c r="D52" s="7" t="inlineStr"/>
      <c r="E52" s="7" t="inlineStr">
        <is>
          <t>SoD in system administration</t>
        </is>
      </c>
      <c r="F52" s="7" t="inlineStr">
        <is>
          <t>1. Verify system administration duties separated (DBA vs network vs security).
2. Check no single admin has unrestricted access across domains.
3. Verify SoD matrix enforced in IAM.
4. Review compensating controls where SoD cannot be fully achieved.</t>
        </is>
      </c>
      <c r="G52" s="7" t="inlineStr">
        <is>
          <t>SoD matrix; Admin role definitions; IAM enforcement evidence; Compensating controls documentation</t>
        </is>
      </c>
      <c r="H52" s="7" t="inlineStr">
        <is>
          <t>Inspection</t>
        </is>
      </c>
      <c r="I52" s="7" t="inlineStr"/>
      <c r="J52" s="7" t="inlineStr"/>
      <c r="K52" s="7" t="inlineStr"/>
      <c r="L52" s="7" t="inlineStr"/>
      <c r="M52" s="7" t="inlineStr"/>
      <c r="N52" s="7" t="inlineStr"/>
    </row>
    <row r="53">
      <c r="A53" s="7" t="inlineStr">
        <is>
          <t>App7-D2(c)(iv)</t>
        </is>
      </c>
      <c r="B53" s="7" t="inlineStr">
        <is>
          <t>PD-09.4</t>
        </is>
      </c>
      <c r="C53" s="7" t="inlineStr"/>
      <c r="D53" s="7" t="inlineStr"/>
      <c r="E53" s="7" t="inlineStr">
        <is>
          <t>Monitoring of privileged activities</t>
        </is>
      </c>
      <c r="F53" s="7" t="inlineStr">
        <is>
          <t>1. Verify all privileged activities are logged.
2. Check logs reviewed regularly (at least weekly).
3. Confirm anomalous privileged activities trigger alerts.
4. Verify log integrity (tamper-proof).</t>
        </is>
      </c>
      <c r="G53" s="7" t="inlineStr">
        <is>
          <t>Privileged activity logs; Log review schedule; Alerting rules; Log integrity controls</t>
        </is>
      </c>
      <c r="H53" s="7" t="inlineStr">
        <is>
          <t>Inspection</t>
        </is>
      </c>
      <c r="I53" s="7" t="inlineStr"/>
      <c r="J53" s="7" t="inlineStr"/>
      <c r="K53" s="7" t="inlineStr"/>
      <c r="L53" s="7" t="inlineStr"/>
      <c r="M53" s="7" t="inlineStr"/>
      <c r="N53" s="7" t="inlineStr"/>
    </row>
    <row r="54">
      <c r="A54" s="11" t="inlineStr">
        <is>
          <t>Item 2(d) — Data Integrity</t>
        </is>
      </c>
      <c r="B54" s="12" t="n"/>
      <c r="C54" s="12" t="n"/>
      <c r="D54" s="12" t="n"/>
      <c r="E54" s="12" t="n"/>
      <c r="F54" s="12" t="n"/>
      <c r="G54" s="12" t="n"/>
      <c r="H54" s="12" t="n"/>
      <c r="I54" s="12" t="n"/>
      <c r="J54" s="12" t="n"/>
      <c r="K54" s="12" t="n"/>
      <c r="L54" s="12" t="n"/>
      <c r="M54" s="12" t="n"/>
      <c r="N54" s="12" t="n"/>
    </row>
    <row r="55">
      <c r="A55" s="13" t="inlineStr">
        <is>
          <t>Data integrity controls prevent tampering and ensure confidentiality. Expect E2E encryption, defence-in-depth, pen testing, audit trails. Data integrity failure causes financial loss and regulatory breach.</t>
        </is>
      </c>
      <c r="B55" s="14" t="n"/>
      <c r="C55" s="14" t="n"/>
      <c r="D55" s="14" t="n"/>
      <c r="E55" s="14" t="n"/>
      <c r="F55" s="14" t="n"/>
      <c r="G55" s="14" t="n"/>
      <c r="H55" s="14" t="n"/>
      <c r="I55" s="14" t="n"/>
      <c r="J55" s="14" t="n"/>
      <c r="K55" s="14" t="n"/>
      <c r="L55" s="14" t="n"/>
      <c r="M55" s="14" t="n"/>
      <c r="N55" s="14" t="n"/>
    </row>
    <row r="56">
      <c r="A56" s="15" t="inlineStr">
        <is>
          <t>App7-D2(d)</t>
        </is>
      </c>
      <c r="B56" s="15" t="inlineStr">
        <is>
          <t>PD-10</t>
        </is>
      </c>
      <c r="C56" s="15" t="inlineStr">
        <is>
          <t>ORG</t>
        </is>
      </c>
      <c r="D56" s="15" t="inlineStr">
        <is>
          <t>Data Integrity</t>
        </is>
      </c>
      <c r="E56" s="15" t="inlineStr">
        <is>
          <t>End-to-end encryption, multi-layer security, SPOF avoidance, security assessment, and audit trails</t>
        </is>
      </c>
      <c r="F56" s="15" t="inlineStr"/>
      <c r="G56" s="15" t="inlineStr"/>
      <c r="H56" s="15" t="inlineStr"/>
      <c r="I56" s="15" t="inlineStr"/>
      <c r="J56" s="15" t="inlineStr"/>
      <c r="K56" s="15" t="inlineStr"/>
      <c r="L56" s="15" t="inlineStr"/>
      <c r="M56" s="16" t="inlineStr"/>
      <c r="N56" s="16" t="inlineStr"/>
    </row>
    <row r="57">
      <c r="A57" s="7" t="inlineStr">
        <is>
          <t>App7-D2(d)(i)</t>
        </is>
      </c>
      <c r="B57" s="7" t="inlineStr">
        <is>
          <t>PD-10.1</t>
        </is>
      </c>
      <c r="C57" s="7" t="inlineStr"/>
      <c r="D57" s="7" t="inlineStr"/>
      <c r="E57" s="7" t="inlineStr">
        <is>
          <t>End-to-end encryption and multi-layer security</t>
        </is>
      </c>
      <c r="F57" s="7" t="inlineStr">
        <is>
          <t>1. Verify E2E encryption for external communications.
2. Review multi-layer network security (defence-in-depth).
3. Confirm each layer independently managed.
4. Verify security devices current on firmware/signatures.</t>
        </is>
      </c>
      <c r="G57" s="7" t="inlineStr">
        <is>
          <t>Encryption architecture; Multi-layer security diagram; Security device inventory; Management and monitoring evidence</t>
        </is>
      </c>
      <c r="H57" s="7" t="inlineStr">
        <is>
          <t>Inspection</t>
        </is>
      </c>
      <c r="I57" s="7" t="inlineStr"/>
      <c r="J57" s="7" t="inlineStr"/>
      <c r="K57" s="7" t="inlineStr"/>
      <c r="L57" s="7" t="inlineStr"/>
      <c r="M57" s="7" t="inlineStr"/>
      <c r="N57" s="7" t="inlineStr"/>
    </row>
    <row r="58">
      <c r="A58" s="7" t="inlineStr">
        <is>
          <t>App7-D2(d)(ii)</t>
        </is>
      </c>
      <c r="B58" s="7" t="inlineStr">
        <is>
          <t>PD-10.2</t>
        </is>
      </c>
      <c r="C58" s="7" t="inlineStr"/>
      <c r="D58" s="7" t="inlineStr"/>
      <c r="E58" s="7" t="inlineStr">
        <is>
          <t>Absence of single points of failure</t>
        </is>
      </c>
      <c r="F58" s="7" t="inlineStr">
        <is>
          <t>1. Review network architecture for SPOF.
2. Verify redundancy at each critical layer.
3. Confirm failover tested within 12 months.
4. Check SPOF analysis documented.</t>
        </is>
      </c>
      <c r="G58" s="7" t="inlineStr">
        <is>
          <t>Network architecture with redundancy; SPOF analysis; Failover test results; SPOF review history</t>
        </is>
      </c>
      <c r="H58" s="7" t="inlineStr">
        <is>
          <t>Inspection</t>
        </is>
      </c>
      <c r="I58" s="7" t="inlineStr"/>
      <c r="J58" s="7" t="inlineStr"/>
      <c r="K58" s="7" t="inlineStr"/>
      <c r="L58" s="7" t="inlineStr"/>
      <c r="M58" s="7" t="inlineStr"/>
      <c r="N58" s="7" t="inlineStr"/>
    </row>
    <row r="59">
      <c r="A59" s="7" t="inlineStr">
        <is>
          <t>App7-D2(d)(iii)</t>
        </is>
      </c>
      <c r="B59" s="7" t="inlineStr">
        <is>
          <t>PD-10.3</t>
        </is>
      </c>
      <c r="C59" s="7" t="inlineStr"/>
      <c r="D59" s="7" t="inlineStr"/>
      <c r="E59" s="7" t="inlineStr">
        <is>
          <t>Security assessment and audit trails</t>
        </is>
      </c>
      <c r="F59" s="7" t="inlineStr">
        <is>
          <t>1. Obtain most recent pen test and network security assessment.
2. Verify testing by qualified party within 12 months.
3. Confirm vulnerabilities remediated or risk-accepted.
4. Verify audit trail capabilities.
5. Confirm logs tamper-protected and retained.</t>
        </is>
      </c>
      <c r="G59" s="7" t="inlineStr">
        <is>
          <t>Pen test report; Network security assessment; Audit trail config and sample logs; Log integrity controls</t>
        </is>
      </c>
      <c r="H59" s="7" t="inlineStr">
        <is>
          <t>Inspection</t>
        </is>
      </c>
      <c r="I59" s="7" t="inlineStr"/>
      <c r="J59" s="7" t="inlineStr"/>
      <c r="K59" s="7" t="inlineStr"/>
      <c r="L59" s="7" t="inlineStr"/>
      <c r="M59" s="7" t="inlineStr"/>
      <c r="N59" s="7" t="inlineStr"/>
    </row>
    <row r="60">
      <c r="A60" s="7" t="inlineStr">
        <is>
          <t>App7-D2(d)(iv)</t>
        </is>
      </c>
      <c r="B60" s="7" t="inlineStr">
        <is>
          <t>PD-10.4</t>
        </is>
      </c>
      <c r="C60" s="7" t="inlineStr"/>
      <c r="D60" s="7" t="inlineStr"/>
      <c r="E60" s="7" t="inlineStr">
        <is>
          <t>Data confidentiality and risk-based auth</t>
        </is>
      </c>
      <c r="F60" s="7" t="inlineStr">
        <is>
          <t>1. Verify confidentiality controls (encryption, masking, access controls).
2. Confirm data classification applied.
3. Verify risk-based step-up authentication.
4. Check customers receive timely transaction notifications.</t>
        </is>
      </c>
      <c r="G60" s="7" t="inlineStr">
        <is>
          <t>Data classification scheme; Encryption and masking config; Risk-based auth rules; Customer notification samples</t>
        </is>
      </c>
      <c r="H60" s="7" t="inlineStr">
        <is>
          <t>Inspection</t>
        </is>
      </c>
      <c r="I60" s="7" t="inlineStr"/>
      <c r="J60" s="7" t="inlineStr"/>
      <c r="K60" s="7" t="inlineStr"/>
      <c r="L60" s="7" t="inlineStr"/>
      <c r="M60" s="7" t="inlineStr"/>
      <c r="N60" s="7" t="inlineStr"/>
    </row>
    <row r="61">
      <c r="A61" s="7" t="inlineStr">
        <is>
          <t>App7-D2(d)(v)</t>
        </is>
      </c>
      <c r="B61" s="7" t="inlineStr">
        <is>
          <t>PD-10.5</t>
        </is>
      </c>
      <c r="C61" s="7" t="inlineStr"/>
      <c r="D61" s="7" t="inlineStr"/>
      <c r="E61" s="7" t="inlineStr">
        <is>
          <t>Data at rest protection</t>
        </is>
      </c>
      <c r="F61" s="7" t="inlineStr">
        <is>
          <t>1. Verify encryption at rest for databases, file systems, backups.
2. Check key management (rotation, access controls, HSM).
3. Verify data masking in non-production environments.
4. Confirm data disposal procedures.</t>
        </is>
      </c>
      <c r="G61" s="7" t="inlineStr">
        <is>
          <t>Encryption at rest config; Key management procedures; Data masking evidence; Data disposal procedures</t>
        </is>
      </c>
      <c r="H61" s="7" t="inlineStr">
        <is>
          <t>Inspection</t>
        </is>
      </c>
      <c r="I61" s="7" t="inlineStr"/>
      <c r="J61" s="7" t="inlineStr"/>
      <c r="K61" s="7" t="inlineStr"/>
      <c r="L61" s="7" t="inlineStr"/>
      <c r="M61" s="7" t="inlineStr"/>
      <c r="N61" s="7" t="inlineStr"/>
    </row>
    <row r="62">
      <c r="A62" s="7" t="inlineStr">
        <is>
          <t>App7-D2(d)(vi)</t>
        </is>
      </c>
      <c r="B62" s="7" t="inlineStr">
        <is>
          <t>PD-10.6</t>
        </is>
      </c>
      <c r="C62" s="7" t="inlineStr"/>
      <c r="D62" s="7" t="inlineStr"/>
      <c r="E62" s="7" t="inlineStr">
        <is>
          <t>Integrity monitoring and checksums</t>
        </is>
      </c>
      <c r="F62" s="7" t="inlineStr">
        <is>
          <t>1. Verify file integrity monitoring for critical system files.
2. Check database integrity controls (checksums, referential integrity).
3. Verify integrity checks in data transfer processes.
4. Confirm integrity violations trigger alerts.</t>
        </is>
      </c>
      <c r="G62" s="7" t="inlineStr">
        <is>
          <t>FIM config; Database integrity controls; Data transfer integrity checks; Integrity alert config</t>
        </is>
      </c>
      <c r="H62" s="7" t="inlineStr">
        <is>
          <t>Inspection</t>
        </is>
      </c>
      <c r="I62" s="7" t="inlineStr"/>
      <c r="J62" s="7" t="inlineStr"/>
      <c r="K62" s="7" t="inlineStr"/>
      <c r="L62" s="7" t="inlineStr"/>
      <c r="M62" s="7" t="inlineStr"/>
      <c r="N62" s="7" t="inlineStr"/>
    </row>
    <row r="63">
      <c r="A63" s="7" t="inlineStr">
        <is>
          <t>App7-D2(d)(vii)</t>
        </is>
      </c>
      <c r="B63" s="7" t="inlineStr">
        <is>
          <t>PD-10.7</t>
        </is>
      </c>
      <c r="C63" s="7" t="inlineStr"/>
      <c r="D63" s="7" t="inlineStr"/>
      <c r="E63" s="7" t="inlineStr">
        <is>
          <t>Data loss prevention</t>
        </is>
      </c>
      <c r="F63" s="7" t="inlineStr">
        <is>
          <t>1. Verify DLP controls for sensitive data.
2. Check DLP coverage (email, web, endpoint, cloud).
3. Review DLP policy rules and exceptions.
4. Sample DLP incidents (5 recent) — verify investigation.</t>
        </is>
      </c>
      <c r="G63" s="7" t="inlineStr">
        <is>
          <t>DLP policy and config; DLP coverage matrix; DLP incident samples; Investigation records</t>
        </is>
      </c>
      <c r="H63" s="7" t="inlineStr">
        <is>
          <t>Inspection</t>
        </is>
      </c>
      <c r="I63" s="7" t="inlineStr"/>
      <c r="J63" s="7" t="inlineStr"/>
      <c r="K63" s="7" t="inlineStr"/>
      <c r="L63" s="7" t="inlineStr"/>
      <c r="M63" s="7" t="inlineStr"/>
      <c r="N63" s="7" t="inlineStr"/>
    </row>
    <row r="64">
      <c r="A64" s="7" t="inlineStr">
        <is>
          <t>App7-D2(d)(viii)</t>
        </is>
      </c>
      <c r="B64" s="7" t="inlineStr">
        <is>
          <t>PD-10.8</t>
        </is>
      </c>
      <c r="C64" s="7" t="inlineStr"/>
      <c r="D64" s="7" t="inlineStr"/>
      <c r="E64" s="7" t="inlineStr">
        <is>
          <t>Backup integrity verification</t>
        </is>
      </c>
      <c r="F64" s="7" t="inlineStr">
        <is>
          <t>1. Verify backup integrity checks (checksum verification).
2. Confirm restore testing includes data integrity validation.
3. Check backup encryption and access controls.
4. Verify backup logs and monitoring.</t>
        </is>
      </c>
      <c r="G64" s="7" t="inlineStr">
        <is>
          <t>Backup integrity checks; Restore test with validation; Backup encryption config; Backup monitoring</t>
        </is>
      </c>
      <c r="H64" s="7" t="inlineStr">
        <is>
          <t>Inspection</t>
        </is>
      </c>
      <c r="I64" s="7" t="inlineStr"/>
      <c r="J64" s="7" t="inlineStr"/>
      <c r="K64" s="7" t="inlineStr"/>
      <c r="L64" s="7" t="inlineStr"/>
      <c r="M64" s="7" t="inlineStr"/>
      <c r="N64" s="7" t="inlineStr"/>
    </row>
    <row r="65">
      <c r="A65" s="11" t="inlineStr">
        <is>
          <t>Item 2(e) — Mobile Device Risks</t>
        </is>
      </c>
      <c r="B65" s="12" t="n"/>
      <c r="C65" s="12" t="n"/>
      <c r="D65" s="12" t="n"/>
      <c r="E65" s="12" t="n"/>
      <c r="F65" s="12" t="n"/>
      <c r="G65" s="12" t="n"/>
      <c r="H65" s="12" t="n"/>
      <c r="I65" s="12" t="n"/>
      <c r="J65" s="12" t="n"/>
      <c r="K65" s="12" t="n"/>
      <c r="L65" s="12" t="n"/>
      <c r="M65" s="12" t="n"/>
      <c r="N65" s="12" t="n"/>
    </row>
    <row r="66">
      <c r="A66" s="13" t="inlineStr">
        <is>
          <t>Mobile apps require additional protections due to the untrusted device environment. Expect jailbreak detection, secure storage, certificate pinning, fake app monitoring. Mobile-specific attacks bypass server-side controls.</t>
        </is>
      </c>
      <c r="B66" s="14" t="n"/>
      <c r="C66" s="14" t="n"/>
      <c r="D66" s="14" t="n"/>
      <c r="E66" s="14" t="n"/>
      <c r="F66" s="14" t="n"/>
      <c r="G66" s="14" t="n"/>
      <c r="H66" s="14" t="n"/>
      <c r="I66" s="14" t="n"/>
      <c r="J66" s="14" t="n"/>
      <c r="K66" s="14" t="n"/>
      <c r="L66" s="14" t="n"/>
      <c r="M66" s="14" t="n"/>
      <c r="N66" s="14" t="n"/>
    </row>
    <row r="67">
      <c r="A67" s="15" t="inlineStr">
        <is>
          <t>App7-D2(e)</t>
        </is>
      </c>
      <c r="B67" s="15" t="inlineStr">
        <is>
          <t>PD-11</t>
        </is>
      </c>
      <c r="C67" s="15" t="inlineStr">
        <is>
          <t>WORKLOAD</t>
        </is>
      </c>
      <c r="D67" s="15" t="inlineStr">
        <is>
          <t>Mobile Device Security</t>
        </is>
      </c>
      <c r="E67" s="15" t="inlineStr">
        <is>
          <t>Mobile app security baseline, data protection, transaction controls, and app distribution security</t>
        </is>
      </c>
      <c r="F67" s="15" t="inlineStr"/>
      <c r="G67" s="15" t="inlineStr"/>
      <c r="H67" s="15" t="inlineStr"/>
      <c r="I67" s="15" t="inlineStr"/>
      <c r="J67" s="15" t="inlineStr"/>
      <c r="K67" s="15" t="inlineStr"/>
      <c r="L67" s="15" t="inlineStr"/>
      <c r="M67" s="16" t="inlineStr"/>
      <c r="N67" s="16" t="inlineStr"/>
    </row>
    <row r="68">
      <c r="A68" s="7" t="inlineStr">
        <is>
          <t>App7-D2(e)(i)</t>
        </is>
      </c>
      <c r="B68" s="7" t="inlineStr">
        <is>
          <t>PD-11.1</t>
        </is>
      </c>
      <c r="C68" s="7" t="inlineStr"/>
      <c r="D68" s="7" t="inlineStr"/>
      <c r="E68" s="7" t="inlineStr">
        <is>
          <t>Mobile app security baseline</t>
        </is>
      </c>
      <c r="F68" s="7" t="inlineStr">
        <is>
          <t>1. Confirm minimum OS version enforced and jailbreak/root detection.
2. Review most recent mobile pen test.
3. Verify vulnerabilities remediated.
4. Confirm secure E2E communication (cert pinning, TLS 1.2+).</t>
        </is>
      </c>
      <c r="G68" s="7" t="inlineStr">
        <is>
          <t>OS version enforcement; Jailbreak/root detection; Mobile pen test report; Remediation evidence; Communication security config</t>
        </is>
      </c>
      <c r="H68" s="7" t="inlineStr">
        <is>
          <t>Inspection</t>
        </is>
      </c>
      <c r="I68" s="7" t="inlineStr"/>
      <c r="J68" s="7" t="inlineStr"/>
      <c r="K68" s="7" t="inlineStr"/>
      <c r="L68" s="7" t="inlineStr"/>
      <c r="M68" s="7" t="inlineStr"/>
      <c r="N68" s="7" t="inlineStr"/>
    </row>
    <row r="69">
      <c r="A69" s="7" t="inlineStr">
        <is>
          <t>App7-D2(e)(ii)</t>
        </is>
      </c>
      <c r="B69" s="7" t="inlineStr">
        <is>
          <t>PD-11.2</t>
        </is>
      </c>
      <c r="C69" s="7" t="inlineStr"/>
      <c r="D69" s="7" t="inlineStr"/>
      <c r="E69" s="7" t="inlineStr">
        <is>
          <t>Mobile data protection</t>
        </is>
      </c>
      <c r="F69" s="7" t="inlineStr">
        <is>
          <t>1. Verify sensitive data not stored on device or only in secure enclaves.
2. Confirm cache/logs sanitised.
3. Verify clipboard access restricted.
4. Check remote wipe capability.</t>
        </is>
      </c>
      <c r="G69" s="7" t="inlineStr">
        <is>
          <t>Mobile app security architecture; Data storage review; Secure enclave usage; Remote wipe documentation</t>
        </is>
      </c>
      <c r="H69" s="7" t="inlineStr">
        <is>
          <t>Inspection</t>
        </is>
      </c>
      <c r="I69" s="7" t="inlineStr"/>
      <c r="J69" s="7" t="inlineStr"/>
      <c r="K69" s="7" t="inlineStr"/>
      <c r="L69" s="7" t="inlineStr"/>
      <c r="M69" s="7" t="inlineStr"/>
      <c r="N69" s="7" t="inlineStr"/>
    </row>
    <row r="70">
      <c r="A70" s="7" t="inlineStr">
        <is>
          <t>App7-D2(e)(iii)</t>
        </is>
      </c>
      <c r="B70" s="7" t="inlineStr">
        <is>
          <t>PD-11.3</t>
        </is>
      </c>
      <c r="C70" s="7" t="inlineStr"/>
      <c r="D70" s="7" t="inlineStr"/>
      <c r="E70" s="7" t="inlineStr">
        <is>
          <t>Transaction notification and codes</t>
        </is>
      </c>
      <c r="F70" s="7" t="inlineStr">
        <is>
          <t>1. Verify transaction notifications (push, SMS, email).
2. Verify suspicious transaction alerts.
3. Confirm unique per-transaction codes (TAC, OTP).
4. Verify code expiry (2-5 min) and single-use.</t>
        </is>
      </c>
      <c r="G70" s="7" t="inlineStr">
        <is>
          <t>Transaction notification config; Suspicious alert rules; Code generation mechanism; Code expiry config</t>
        </is>
      </c>
      <c r="H70" s="7" t="inlineStr">
        <is>
          <t>Inspection</t>
        </is>
      </c>
      <c r="I70" s="7" t="inlineStr"/>
      <c r="J70" s="7" t="inlineStr"/>
      <c r="K70" s="7" t="inlineStr"/>
      <c r="L70" s="7" t="inlineStr"/>
      <c r="M70" s="7" t="inlineStr"/>
      <c r="N70" s="7" t="inlineStr"/>
    </row>
    <row r="71">
      <c r="A71" s="7" t="inlineStr">
        <is>
          <t>App7-D2(e)(iv)</t>
        </is>
      </c>
      <c r="B71" s="7" t="inlineStr">
        <is>
          <t>PD-11.4</t>
        </is>
      </c>
      <c r="C71" s="7" t="inlineStr"/>
      <c r="D71" s="7" t="inlineStr"/>
      <c r="E71" s="7" t="inlineStr">
        <is>
          <t>App distribution and fake app monitoring</t>
        </is>
      </c>
      <c r="F71" s="7" t="inlineStr">
        <is>
          <t>1. Verify publishing access controls.
2. Confirm monitoring for fake/fraudulent apps.
3. Verify takedown process exists and exercised.
4. Review fake app incident history.</t>
        </is>
      </c>
      <c r="G71" s="7" t="inlineStr">
        <is>
          <t>Publishing access controls; Fake app monitoring service; Takedown process docs; Fake app incident log</t>
        </is>
      </c>
      <c r="H71" s="7" t="inlineStr">
        <is>
          <t>Inspection</t>
        </is>
      </c>
      <c r="I71" s="7" t="inlineStr"/>
      <c r="J71" s="7" t="inlineStr"/>
      <c r="K71" s="7" t="inlineStr"/>
      <c r="L71" s="7" t="inlineStr"/>
      <c r="M71" s="7" t="inlineStr"/>
      <c r="N71" s="7" t="inlineStr"/>
    </row>
    <row r="72">
      <c r="A72" s="7" t="inlineStr">
        <is>
          <t>App7-D2(e)(v)</t>
        </is>
      </c>
      <c r="B72" s="7" t="inlineStr">
        <is>
          <t>PD-11.5</t>
        </is>
      </c>
      <c r="C72" s="7" t="inlineStr"/>
      <c r="D72" s="7" t="inlineStr"/>
      <c r="E72" s="7" t="inlineStr">
        <is>
          <t>Code obfuscation and anti-tampering</t>
        </is>
      </c>
      <c r="F72" s="7" t="inlineStr">
        <is>
          <t>1. Verify code obfuscation applied to mobile app binaries.
2. Check anti-tampering and anti-debugging protections.
3. Verify integrity checks on app launch.
4. Confirm RASP deployment.</t>
        </is>
      </c>
      <c r="G72" s="7" t="inlineStr">
        <is>
          <t>Obfuscation evidence; Anti-tampering config; Integrity check mechanism; RASP deployment</t>
        </is>
      </c>
      <c r="H72" s="7" t="inlineStr">
        <is>
          <t>Inspection</t>
        </is>
      </c>
      <c r="I72" s="7" t="inlineStr"/>
      <c r="J72" s="7" t="inlineStr"/>
      <c r="K72" s="7" t="inlineStr"/>
      <c r="L72" s="7" t="inlineStr"/>
      <c r="M72" s="7" t="inlineStr"/>
      <c r="N72" s="7" t="inlineStr"/>
    </row>
    <row r="73">
      <c r="A73" s="7" t="inlineStr">
        <is>
          <t>App7-D2(e)(vi)</t>
        </is>
      </c>
      <c r="B73" s="7" t="inlineStr">
        <is>
          <t>PD-11.6</t>
        </is>
      </c>
      <c r="C73" s="7" t="inlineStr"/>
      <c r="D73" s="7" t="inlineStr"/>
      <c r="E73" s="7" t="inlineStr">
        <is>
          <t>Secure SDK and third-party library management</t>
        </is>
      </c>
      <c r="F73" s="7" t="inlineStr">
        <is>
          <t>1. Inventory third-party SDKs and libraries in mobile app.
2. Verify SDKs from trusted sources with known vulnerabilities checked.
3. Check data sharing by SDKs is controlled.
4. Verify library update process.</t>
        </is>
      </c>
      <c r="G73" s="7" t="inlineStr">
        <is>
          <t>SDK/library inventory; Vulnerability assessment; Data sharing controls; Library update procedures</t>
        </is>
      </c>
      <c r="H73" s="7" t="inlineStr">
        <is>
          <t>Inspection</t>
        </is>
      </c>
      <c r="I73" s="7" t="inlineStr"/>
      <c r="J73" s="7" t="inlineStr"/>
      <c r="K73" s="7" t="inlineStr"/>
      <c r="L73" s="7" t="inlineStr"/>
      <c r="M73" s="7" t="inlineStr"/>
      <c r="N73" s="7" t="inlineStr"/>
    </row>
    <row r="74">
      <c r="A74" s="7" t="inlineStr">
        <is>
          <t>App7-D2(e)(vii)</t>
        </is>
      </c>
      <c r="B74" s="7" t="inlineStr">
        <is>
          <t>PD-11.7</t>
        </is>
      </c>
      <c r="C74" s="7" t="inlineStr"/>
      <c r="D74" s="7" t="inlineStr"/>
      <c r="E74" s="7" t="inlineStr">
        <is>
          <t>Biometric authentication on mobile</t>
        </is>
      </c>
      <c r="F74" s="7" t="inlineStr">
        <is>
          <t>1. Verify biometric authentication uses platform secure enclave.
2. Check fallback authentication mechanism.
3. Verify biometric data not stored by the app.
4. Confirm biometric enrollment verification.</t>
        </is>
      </c>
      <c r="G74" s="7" t="inlineStr">
        <is>
          <t>Biometric implementation; Secure enclave usage; Fallback mechanism; Enrollment verification process</t>
        </is>
      </c>
      <c r="H74" s="7" t="inlineStr">
        <is>
          <t>Inspection</t>
        </is>
      </c>
      <c r="I74" s="7" t="inlineStr"/>
      <c r="J74" s="7" t="inlineStr"/>
      <c r="K74" s="7" t="inlineStr"/>
      <c r="L74" s="7" t="inlineStr"/>
      <c r="M74" s="7" t="inlineStr"/>
      <c r="N74" s="7" t="inlineStr"/>
    </row>
    <row r="75">
      <c r="A75" s="7" t="inlineStr">
        <is>
          <t>App7-D2(e)(viii)</t>
        </is>
      </c>
      <c r="B75" s="7" t="inlineStr">
        <is>
          <t>PD-11.8</t>
        </is>
      </c>
      <c r="C75" s="7" t="inlineStr"/>
      <c r="D75" s="7" t="inlineStr"/>
      <c r="E75" s="7" t="inlineStr">
        <is>
          <t>Push notification security</t>
        </is>
      </c>
      <c r="F75" s="7" t="inlineStr">
        <is>
          <t>1. Verify push notifications do not contain sensitive data.
2. Check notification delivery uses secure channels.
3. Verify notification content is generic until authenticated.
4. Confirm user opt-out capability.</t>
        </is>
      </c>
      <c r="G75" s="7" t="inlineStr">
        <is>
          <t>Push notification policy; Notification content review; Delivery channel security; Opt-out mechanism</t>
        </is>
      </c>
      <c r="H75" s="7" t="inlineStr">
        <is>
          <t>Inspection</t>
        </is>
      </c>
      <c r="I75" s="7" t="inlineStr"/>
      <c r="J75" s="7" t="inlineStr"/>
      <c r="K75" s="7" t="inlineStr"/>
      <c r="L75" s="7" t="inlineStr"/>
      <c r="M75" s="7" t="inlineStr"/>
      <c r="N75" s="7" t="inlineStr"/>
    </row>
    <row r="76">
      <c r="A76" s="7" t="inlineStr">
        <is>
          <t>App7-D2(e)(ix)</t>
        </is>
      </c>
      <c r="B76" s="7" t="inlineStr">
        <is>
          <t>PD-11.9</t>
        </is>
      </c>
      <c r="C76" s="7" t="inlineStr"/>
      <c r="D76" s="7" t="inlineStr"/>
      <c r="E76" s="7" t="inlineStr">
        <is>
          <t>Device binding and registration</t>
        </is>
      </c>
      <c r="F76" s="7" t="inlineStr">
        <is>
          <t>1. Verify device binding mechanism.
2. Check device registration process requires authentication.
3. Verify device change triggers step-up verification.
4. Confirm maximum device limits enforced.</t>
        </is>
      </c>
      <c r="G76" s="7" t="inlineStr">
        <is>
          <t>Device binding mechanism; Registration flow; Device change alerts; Device limit config</t>
        </is>
      </c>
      <c r="H76" s="7" t="inlineStr">
        <is>
          <t>Inspection</t>
        </is>
      </c>
      <c r="I76" s="7" t="inlineStr"/>
      <c r="J76" s="7" t="inlineStr"/>
      <c r="K76" s="7" t="inlineStr"/>
      <c r="L76" s="7" t="inlineStr"/>
      <c r="M76" s="7" t="inlineStr"/>
      <c r="N76" s="7" t="inlineStr"/>
    </row>
    <row r="77">
      <c r="A77" s="7" t="inlineStr">
        <is>
          <t>App7-D2(e)(x)</t>
        </is>
      </c>
      <c r="B77" s="7" t="inlineStr">
        <is>
          <t>PD-11.10</t>
        </is>
      </c>
      <c r="C77" s="7" t="inlineStr"/>
      <c r="D77" s="7" t="inlineStr"/>
      <c r="E77" s="7" t="inlineStr">
        <is>
          <t>Secure communication channel</t>
        </is>
      </c>
      <c r="F77" s="7" t="inlineStr">
        <is>
          <t>1. Verify certificate pinning implemented.
2. Check for SSL/TLS downgrade protection.
3. Verify proxy detection.
4. Confirm mutual TLS where applicable.</t>
        </is>
      </c>
      <c r="G77" s="7" t="inlineStr">
        <is>
          <t>Certificate pinning config; Downgrade protection; Proxy detection mechanism; mTLS config</t>
        </is>
      </c>
      <c r="H77" s="7" t="inlineStr">
        <is>
          <t>Inspection</t>
        </is>
      </c>
      <c r="I77" s="7" t="inlineStr"/>
      <c r="J77" s="7" t="inlineStr"/>
      <c r="K77" s="7" t="inlineStr"/>
      <c r="L77" s="7" t="inlineStr"/>
      <c r="M77" s="7" t="inlineStr"/>
      <c r="N77" s="7" t="inlineStr"/>
    </row>
    <row r="78">
      <c r="A78" s="7" t="inlineStr">
        <is>
          <t>App7-D2(e)(xi)</t>
        </is>
      </c>
      <c r="B78" s="7" t="inlineStr">
        <is>
          <t>PD-11.11</t>
        </is>
      </c>
      <c r="C78" s="7" t="inlineStr"/>
      <c r="D78" s="7" t="inlineStr"/>
      <c r="E78" s="7" t="inlineStr">
        <is>
          <t>Mobile app update and versioning</t>
        </is>
      </c>
      <c r="F78" s="7" t="inlineStr">
        <is>
          <t>1. Verify forced update mechanism for critical security patches.
2. Check minimum supported app version policy.
3. Verify graceful degradation for unsupported versions.
4. Confirm update notification to users.</t>
        </is>
      </c>
      <c r="G78" s="7" t="inlineStr">
        <is>
          <t>Forced update mechanism; Minimum version policy; Degradation handling; Update notification config</t>
        </is>
      </c>
      <c r="H78" s="7" t="inlineStr">
        <is>
          <t>Inspection</t>
        </is>
      </c>
      <c r="I78" s="7" t="inlineStr"/>
      <c r="J78" s="7" t="inlineStr"/>
      <c r="K78" s="7" t="inlineStr"/>
      <c r="L78" s="7" t="inlineStr"/>
      <c r="M78" s="7" t="inlineStr"/>
      <c r="N78" s="7" t="inlineStr"/>
    </row>
  </sheetData>
  <mergeCells count="22">
    <mergeCell ref="A40:N40"/>
    <mergeCell ref="A48:N48"/>
    <mergeCell ref="A54:N54"/>
    <mergeCell ref="A7:N7"/>
    <mergeCell ref="A65:N65"/>
    <mergeCell ref="A41:N41"/>
    <mergeCell ref="A66:N66"/>
    <mergeCell ref="A18:N18"/>
    <mergeCell ref="A27:N27"/>
    <mergeCell ref="A3:N3"/>
    <mergeCell ref="A55:N55"/>
    <mergeCell ref="A12:N12"/>
    <mergeCell ref="A26:N26"/>
    <mergeCell ref="A21:N21"/>
    <mergeCell ref="A2:N2"/>
    <mergeCell ref="A33:N33"/>
    <mergeCell ref="A47:N47"/>
    <mergeCell ref="A32:N32"/>
    <mergeCell ref="A17:N17"/>
    <mergeCell ref="A8:N8"/>
    <mergeCell ref="A22:N22"/>
    <mergeCell ref="A13:N1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8" customWidth="1" min="1" max="1"/>
    <col width="50" customWidth="1" min="2" max="2"/>
    <col width="20" customWidth="1" min="3" max="3"/>
    <col width="15" customWidth="1" min="4" max="4"/>
    <col width="30" customWidth="1" min="5" max="5"/>
  </cols>
  <sheetData>
    <row r="1">
      <c r="A1" s="1" t="inlineStr">
        <is>
          <t>REPORTING AND ATTESTATION CHECKLIST</t>
        </is>
      </c>
    </row>
    <row r="3">
      <c r="A3" s="8" t="inlineStr">
        <is>
          <t>Step</t>
        </is>
      </c>
      <c r="B3" s="8" t="inlineStr">
        <is>
          <t>Activity</t>
        </is>
      </c>
      <c r="C3" s="8" t="inlineStr">
        <is>
          <t>Responsible</t>
        </is>
      </c>
      <c r="D3" s="8" t="inlineStr">
        <is>
          <t>Status</t>
        </is>
      </c>
      <c r="E3" s="8" t="inlineStr">
        <is>
          <t>Notes</t>
        </is>
      </c>
    </row>
    <row r="4">
      <c r="A4" s="7" t="inlineStr">
        <is>
          <t>R-01</t>
        </is>
      </c>
      <c r="B4" s="7" t="inlineStr">
        <is>
          <t>Consolidate all test results — compile conclusions from all domain rows across assessment sheets</t>
        </is>
      </c>
      <c r="C4" s="7" t="inlineStr"/>
      <c r="D4" s="7" t="inlineStr"/>
      <c r="E4" s="7" t="inlineStr"/>
    </row>
    <row r="5">
      <c r="A5" s="7" t="inlineStr">
        <is>
          <t>R-02</t>
        </is>
      </c>
      <c r="B5" s="7" t="inlineStr">
        <is>
          <t>Assign risk ratings (High/Medium/Low) to each finding based on likelihood and impact</t>
        </is>
      </c>
      <c r="C5" s="7" t="inlineStr"/>
      <c r="D5" s="7" t="inlineStr"/>
      <c r="E5" s="7" t="inlineStr"/>
    </row>
    <row r="6">
      <c r="A6" s="7" t="inlineStr">
        <is>
          <t>R-03</t>
        </is>
      </c>
      <c r="B6" s="7" t="inlineStr">
        <is>
          <t>Map findings to specific regulatory references (Appendix clauses, Part D items)</t>
        </is>
      </c>
      <c r="C6" s="7" t="inlineStr"/>
      <c r="D6" s="7" t="inlineStr"/>
      <c r="E6" s="7" t="inlineStr"/>
    </row>
    <row r="7">
      <c r="A7" s="7" t="inlineStr">
        <is>
          <t>R-04</t>
        </is>
      </c>
      <c r="B7" s="7" t="inlineStr">
        <is>
          <t>Draft recommendations with specific remediation steps, responsible parties, and timelines</t>
        </is>
      </c>
      <c r="C7" s="7" t="inlineStr"/>
      <c r="D7" s="7" t="inlineStr"/>
      <c r="E7" s="7" t="inlineStr"/>
    </row>
    <row r="8">
      <c r="A8" s="7" t="inlineStr">
        <is>
          <t>R-05</t>
        </is>
      </c>
      <c r="B8" s="7" t="inlineStr">
        <is>
          <t>Distinguish must-fix-before-go-live findings from post-launch improvements (for pre-impl)</t>
        </is>
      </c>
      <c r="C8" s="7" t="inlineStr"/>
      <c r="D8" s="7" t="inlineStr"/>
      <c r="E8" s="7" t="inlineStr"/>
    </row>
    <row r="9">
      <c r="A9" s="7" t="inlineStr">
        <is>
          <t>R-06</t>
        </is>
      </c>
      <c r="B9" s="7" t="inlineStr">
        <is>
          <t>Conduct quality assurance / peer review of working papers and findings</t>
        </is>
      </c>
      <c r="C9" s="7" t="inlineStr"/>
      <c r="D9" s="7" t="inlineStr"/>
      <c r="E9" s="7" t="inlineStr"/>
    </row>
    <row r="10">
      <c r="A10" s="7" t="inlineStr">
        <is>
          <t>R-07</t>
        </is>
      </c>
      <c r="B10" s="7" t="inlineStr">
        <is>
          <t>Conduct findings walkthrough with FI management</t>
        </is>
      </c>
      <c r="C10" s="7" t="inlineStr"/>
      <c r="D10" s="7" t="inlineStr"/>
      <c r="E10" s="7" t="inlineStr"/>
    </row>
    <row r="11">
      <c r="A11" s="7" t="inlineStr">
        <is>
          <t>R-08</t>
        </is>
      </c>
      <c r="B11" s="7" t="inlineStr">
        <is>
          <t>Incorporate management responses and agreed action plans</t>
        </is>
      </c>
      <c r="C11" s="7" t="inlineStr"/>
      <c r="D11" s="7" t="inlineStr"/>
      <c r="E11" s="7" t="inlineStr"/>
    </row>
    <row r="12">
      <c r="A12" s="7" t="inlineStr">
        <is>
          <t>R-09</t>
        </is>
      </c>
      <c r="B12" s="7" t="inlineStr">
        <is>
          <t>Form Part C attestation opinion: Type A (Clean), Type B (With Exceptions), or Type C (Adverse)</t>
        </is>
      </c>
      <c r="C12" s="7" t="inlineStr"/>
      <c r="D12" s="7" t="inlineStr"/>
      <c r="E12" s="7" t="inlineStr"/>
    </row>
    <row r="13">
      <c r="A13" s="7" t="inlineStr">
        <is>
          <t>R-10</t>
        </is>
      </c>
      <c r="B13" s="7" t="inlineStr">
        <is>
          <t>Prepare the formal report in Appendix 7 Part A format</t>
        </is>
      </c>
      <c r="C13" s="7" t="inlineStr"/>
      <c r="D13" s="7" t="inlineStr"/>
      <c r="E13" s="7" t="inlineStr"/>
    </row>
    <row r="14">
      <c r="A14" s="7" t="inlineStr">
        <is>
          <t>R-11</t>
        </is>
      </c>
      <c r="B14" s="7" t="inlineStr">
        <is>
          <t>Confirm independence declaration and Part C compliance statement</t>
        </is>
      </c>
      <c r="C14" s="7" t="inlineStr"/>
      <c r="D14" s="7" t="inlineStr"/>
      <c r="E14" s="7" t="inlineStr"/>
    </row>
    <row r="15">
      <c r="A15" s="7" t="inlineStr">
        <is>
          <t>R-12</t>
        </is>
      </c>
      <c r="B15" s="7" t="inlineStr">
        <is>
          <t>Obtain FI management sign-off on report and management action plans</t>
        </is>
      </c>
      <c r="C15" s="7" t="inlineStr"/>
      <c r="D15" s="7" t="inlineStr"/>
      <c r="E15" s="7" t="inlineStr"/>
    </row>
    <row r="16">
      <c r="A16" s="7" t="inlineStr">
        <is>
          <t>R-13</t>
        </is>
      </c>
      <c r="B16" s="7" t="inlineStr">
        <is>
          <t>Prepare executive summary for designated board committee (per 8.3)</t>
        </is>
      </c>
      <c r="C16" s="7" t="inlineStr"/>
      <c r="D16" s="7" t="inlineStr"/>
      <c r="E16" s="7" t="inlineStr"/>
    </row>
    <row r="17">
      <c r="A17" s="7" t="inlineStr">
        <is>
          <t>R-14</t>
        </is>
      </c>
      <c r="B17" s="7" t="inlineStr">
        <is>
          <t>Attend board committee meeting to present findings (if required)</t>
        </is>
      </c>
      <c r="C17" s="7" t="inlineStr"/>
      <c r="D17" s="7" t="inlineStr"/>
      <c r="E17" s="7" t="inlineStr"/>
    </row>
    <row r="18">
      <c r="A18" s="7" t="inlineStr">
        <is>
          <t>R-15</t>
        </is>
      </c>
      <c r="B18" s="7" t="inlineStr">
        <is>
          <t>Document board committee directives and incorporate into final report</t>
        </is>
      </c>
      <c r="C18" s="7" t="inlineStr"/>
      <c r="D18" s="7" t="inlineStr"/>
      <c r="E18" s="7" t="inlineStr"/>
    </row>
    <row r="19">
      <c r="A19" s="7" t="inlineStr">
        <is>
          <t>R-16</t>
        </is>
      </c>
      <c r="B19" s="7" t="inlineStr">
        <is>
          <t>Issue final signed report</t>
        </is>
      </c>
      <c r="C19" s="7" t="inlineStr"/>
      <c r="D19" s="7" t="inlineStr"/>
      <c r="E19" s="7" t="inlineStr"/>
    </row>
  </sheetData>
  <mergeCells count="1">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6" customWidth="1" min="1" max="1"/>
    <col width="20" customWidth="1" min="2" max="2"/>
    <col width="45" customWidth="1" min="3" max="3"/>
    <col width="40" customWidth="1" min="4" max="4"/>
    <col width="15" customWidth="1" min="5" max="5"/>
    <col width="30" customWidth="1" min="6" max="6"/>
  </cols>
  <sheetData>
    <row r="1">
      <c r="A1" s="1" t="inlineStr">
        <is>
          <t>APPENDIX 7 PART C — IESP SELF-ASSESSMENT</t>
        </is>
      </c>
    </row>
    <row r="2">
      <c r="A2" s="5" t="inlineStr">
        <is>
          <t>The IESP must comply with these 6 requirements. Complete this self-assessment before issuing the report.</t>
        </is>
      </c>
    </row>
    <row r="4">
      <c r="A4" s="8" t="inlineStr">
        <is>
          <t>#</t>
        </is>
      </c>
      <c r="B4" s="8" t="inlineStr">
        <is>
          <t>Requirement</t>
        </is>
      </c>
      <c r="C4" s="8" t="inlineStr">
        <is>
          <t>Assessment Criteria</t>
        </is>
      </c>
      <c r="D4" s="8" t="inlineStr">
        <is>
          <t>Evidence / Justification</t>
        </is>
      </c>
      <c r="E4" s="8" t="inlineStr">
        <is>
          <t>Compliant?</t>
        </is>
      </c>
      <c r="F4" s="8" t="inlineStr">
        <is>
          <t>Notes</t>
        </is>
      </c>
    </row>
    <row r="5">
      <c r="A5" s="7" t="inlineStr">
        <is>
          <t>1</t>
        </is>
      </c>
      <c r="B5" s="7" t="inlineStr">
        <is>
          <t>Independence</t>
        </is>
      </c>
      <c r="C5" s="7" t="inlineStr">
        <is>
          <t>The IESP is independent of the FI's technology operations and the systems/services being assessed. No conflicts of interest exist between the IESP and the FI.</t>
        </is>
      </c>
      <c r="D5" s="7" t="inlineStr"/>
      <c r="E5" s="7" t="inlineStr"/>
      <c r="F5" s="7" t="inlineStr"/>
    </row>
    <row r="6">
      <c r="A6" s="7" t="inlineStr">
        <is>
          <t>2</t>
        </is>
      </c>
      <c r="B6" s="7" t="inlineStr">
        <is>
          <t>Competence</t>
        </is>
      </c>
      <c r="C6" s="7" t="inlineStr">
        <is>
          <t>The IESP team has relevant professional qualifications (CISA, CISSP, CCSP, CSP-specific certs), certifications, and experience in the subject matter being assessed.</t>
        </is>
      </c>
      <c r="D6" s="7" t="inlineStr"/>
      <c r="E6" s="7" t="inlineStr"/>
      <c r="F6" s="7" t="inlineStr"/>
    </row>
    <row r="7">
      <c r="A7" s="7" t="inlineStr">
        <is>
          <t>3</t>
        </is>
      </c>
      <c r="B7" s="7" t="inlineStr">
        <is>
          <t>Scope</t>
        </is>
      </c>
      <c r="C7" s="7" t="inlineStr">
        <is>
          <t>The assessment covers ALL areas specified in the relevant appendix (Appendix 10, Appendix 9, or Part D as applicable). No required areas were excluded without documented justification.</t>
        </is>
      </c>
      <c r="D7" s="7" t="inlineStr"/>
      <c r="E7" s="7" t="inlineStr"/>
      <c r="F7" s="7" t="inlineStr"/>
    </row>
    <row r="8">
      <c r="A8" s="7" t="inlineStr">
        <is>
          <t>4</t>
        </is>
      </c>
      <c r="B8" s="7" t="inlineStr">
        <is>
          <t>Methodology</t>
        </is>
      </c>
      <c r="C8" s="7" t="inlineStr">
        <is>
          <t>The IESP uses a systematic, risk-based assessment methodology with clear criteria for evaluating controls. The methodology is documented and consistently applied.</t>
        </is>
      </c>
      <c r="D8" s="7" t="inlineStr"/>
      <c r="E8" s="7" t="inlineStr"/>
      <c r="F8" s="7" t="inlineStr"/>
    </row>
    <row r="9">
      <c r="A9" s="7" t="inlineStr">
        <is>
          <t>5</t>
        </is>
      </c>
      <c r="B9" s="7" t="inlineStr">
        <is>
          <t>Reporting</t>
        </is>
      </c>
      <c r="C9" s="7" t="inlineStr">
        <is>
          <t>Findings are reported in the Appendix 7 Part A format with clear risk ratings and actionable recommendations. The report is complete, accurate, and traceable to evidence.</t>
        </is>
      </c>
      <c r="D9" s="7" t="inlineStr"/>
      <c r="E9" s="7" t="inlineStr"/>
      <c r="F9" s="7" t="inlineStr"/>
    </row>
    <row r="10">
      <c r="A10" s="7" t="inlineStr">
        <is>
          <t>6</t>
        </is>
      </c>
      <c r="B10" s="7" t="inlineStr">
        <is>
          <t>Quality Assurance</t>
        </is>
      </c>
      <c r="C10" s="7" t="inlineStr">
        <is>
          <t>Internal QA processes were followed, including peer review of assessment work by a qualified reviewer who did not perform the assessment.</t>
        </is>
      </c>
      <c r="D10" s="7" t="inlineStr"/>
      <c r="E10" s="7" t="inlineStr"/>
      <c r="F10" s="7" t="inlineStr"/>
    </row>
    <row r="12">
      <c r="A12" s="2" t="inlineStr">
        <is>
          <t>SIGN-OFF</t>
        </is>
      </c>
    </row>
    <row r="13">
      <c r="A13" s="3" t="inlineStr">
        <is>
          <t>Lead Assessor:</t>
        </is>
      </c>
      <c r="B13" s="4" t="inlineStr">
        <is>
          <t>________________________</t>
        </is>
      </c>
      <c r="D13" s="3" t="inlineStr">
        <is>
          <t>Date:</t>
        </is>
      </c>
      <c r="E13" s="4" t="inlineStr">
        <is>
          <t>______________</t>
        </is>
      </c>
    </row>
    <row r="14">
      <c r="A14" s="3" t="inlineStr">
        <is>
          <t>Quality Reviewer:</t>
        </is>
      </c>
      <c r="B14" s="4" t="inlineStr">
        <is>
          <t>________________________</t>
        </is>
      </c>
      <c r="D14" s="3" t="inlineStr">
        <is>
          <t>Date:</t>
        </is>
      </c>
      <c r="E14" s="4" t="inlineStr">
        <is>
          <t>______________</t>
        </is>
      </c>
    </row>
  </sheetData>
  <mergeCells count="3">
    <mergeCell ref="A2:F2"/>
    <mergeCell ref="A1:F1"/>
    <mergeCell ref="A12:F1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35" customWidth="1" min="1" max="1"/>
    <col width="16" customWidth="1" min="2" max="2"/>
    <col width="20" customWidth="1" min="3" max="3"/>
    <col width="18" customWidth="1" min="4" max="4"/>
    <col width="14" customWidth="1" min="5" max="5"/>
    <col width="16" customWidth="1" min="6" max="6"/>
    <col width="16" customWidth="1" min="7" max="7"/>
    <col width="18" customWidth="1" min="8" max="8"/>
  </cols>
  <sheetData>
    <row r="1">
      <c r="A1" s="1" t="inlineStr">
        <is>
          <t>SCORING DASHBOARD</t>
        </is>
      </c>
    </row>
    <row r="3">
      <c r="A3" s="17" t="inlineStr">
        <is>
          <t>Conclusions are at the DOMAIN level only (Ref pattern: XX-NN without a dot). Sub-item rows (XX-NN.N) have observations but no conclusion.</t>
        </is>
      </c>
    </row>
    <row r="5">
      <c r="A5" s="2" t="inlineStr">
        <is>
          <t>OVERALL SUMMARY</t>
        </is>
      </c>
    </row>
    <row r="6">
      <c r="A6" s="8" t="inlineStr">
        <is>
          <t>Metric</t>
        </is>
      </c>
      <c r="B6" s="8" t="inlineStr">
        <is>
          <t>Value</t>
        </is>
      </c>
    </row>
    <row r="7">
      <c r="A7" s="6" t="inlineStr">
        <is>
          <t>Total Compliant</t>
        </is>
      </c>
      <c r="B7" s="18">
        <f>SUM(B21:B22)</f>
        <v/>
      </c>
    </row>
    <row r="8">
      <c r="A8" s="6" t="inlineStr">
        <is>
          <t>Total Partially Compliant</t>
        </is>
      </c>
      <c r="B8" s="19">
        <f>SUM(C21:C22)</f>
        <v/>
      </c>
    </row>
    <row r="9">
      <c r="A9" s="6" t="inlineStr">
        <is>
          <t>Total Non-Compliant</t>
        </is>
      </c>
      <c r="B9" s="20">
        <f>SUM(D21:D22)</f>
        <v/>
      </c>
    </row>
    <row r="10">
      <c r="A10" s="6" t="inlineStr">
        <is>
          <t>Total N/A</t>
        </is>
      </c>
      <c r="B10" s="21">
        <f>SUM(E21:E22)</f>
        <v/>
      </c>
    </row>
    <row r="11">
      <c r="A11" s="6" t="inlineStr">
        <is>
          <t>Total Not Assessed</t>
        </is>
      </c>
      <c r="B11" s="9">
        <f>SUM(F21:F22)</f>
        <v/>
      </c>
    </row>
    <row r="12">
      <c r="A12" s="6" t="inlineStr">
        <is>
          <t>Total Control Domains</t>
        </is>
      </c>
      <c r="B12" s="9">
        <f>SUM(G21:G22)</f>
        <v/>
      </c>
    </row>
    <row r="13">
      <c r="A13" s="6" t="inlineStr">
        <is>
          <t>Overall Compliance %</t>
        </is>
      </c>
      <c r="B13" s="22">
        <f>IF((B12-B10-B11)=0,"—",B7/(B12-B10-B11))</f>
        <v/>
      </c>
    </row>
    <row r="15">
      <c r="A15" s="2" t="inlineStr">
        <is>
          <t>PART C OPINION INDICATOR</t>
        </is>
      </c>
    </row>
    <row r="16">
      <c r="A16" s="6" t="inlineStr">
        <is>
          <t>Opinion Type</t>
        </is>
      </c>
      <c r="B16" s="14">
        <f>IF(B9&gt;5,"Type C (Adverse)",IF(B9&gt;0,"Type B (With Exceptions)",IF(B8&lt;=3,"Type A (Clean)","Type B (With Exceptions)")))</f>
        <v/>
      </c>
    </row>
    <row r="17">
      <c r="A17" s="23" t="inlineStr">
        <is>
          <t>Criteria:</t>
        </is>
      </c>
      <c r="B17" s="13" t="inlineStr">
        <is>
          <t>Type A (Clean): NC=0 and PC&lt;=3  |  Type B (With Exceptions): NC&gt;0 and NC&lt;=5  |  Type C (Adverse): NC&gt;5</t>
        </is>
      </c>
    </row>
    <row r="19">
      <c r="A19" s="2" t="inlineStr">
        <is>
          <t>PER-SHEET BREAKDOWN</t>
        </is>
      </c>
    </row>
    <row r="20">
      <c r="A20" s="10" t="inlineStr">
        <is>
          <t>Sheet</t>
        </is>
      </c>
      <c r="B20" s="10" t="inlineStr">
        <is>
          <t>Compliant</t>
        </is>
      </c>
      <c r="C20" s="10" t="inlineStr">
        <is>
          <t>Partially Compliant</t>
        </is>
      </c>
      <c r="D20" s="10" t="inlineStr">
        <is>
          <t>Non-Compliant</t>
        </is>
      </c>
      <c r="E20" s="10" t="inlineStr">
        <is>
          <t>N/A</t>
        </is>
      </c>
      <c r="F20" s="10" t="inlineStr">
        <is>
          <t>Not Assessed</t>
        </is>
      </c>
      <c r="G20" s="10" t="inlineStr">
        <is>
          <t>Total Domains</t>
        </is>
      </c>
      <c r="H20" s="10" t="inlineStr">
        <is>
          <t>Compliance %</t>
        </is>
      </c>
    </row>
    <row r="21">
      <c r="A21" s="6" t="inlineStr">
        <is>
          <t>DCRA Assessment</t>
        </is>
      </c>
      <c r="B21" s="18">
        <f>COUNTIF('DCRA Assessment'!M:M,"Compliant")</f>
        <v/>
      </c>
      <c r="C21" s="19">
        <f>COUNTIF('DCRA Assessment'!M:M,"Partially Compliant")</f>
        <v/>
      </c>
      <c r="D21" s="20">
        <f>COUNTIF('DCRA Assessment'!M:M,"Non-Compliant")</f>
        <v/>
      </c>
      <c r="E21" s="21">
        <f>COUNTIF('DCRA Assessment'!M:M,"N/A")</f>
        <v/>
      </c>
      <c r="F21" s="9">
        <f>COUNTIFS('DCRA Assessment'!B:B,"&lt;&gt;",'DCRA Assessment'!C:C,"&lt;&gt;",'DCRA Assessment'!M:M,"=")-COUNTIF('DCRA Assessment'!B:B,"Ref")</f>
        <v/>
      </c>
      <c r="G21" s="9">
        <f>COUNTIFS('DCRA Assessment'!B:B,"&lt;&gt;",'DCRA Assessment'!C:C,"&lt;&gt;")-COUNTIF('DCRA Assessment'!B:B,"Ref")</f>
        <v/>
      </c>
      <c r="H21" s="22">
        <f>IF((G21-E21-F21)=0,"—",B21/(G21-E21-F21))</f>
        <v/>
      </c>
    </row>
    <row r="22">
      <c r="A22" s="6" t="inlineStr">
        <is>
          <t>Appendix 7 Part D</t>
        </is>
      </c>
      <c r="B22" s="18">
        <f>COUNTIF('Appendix 7 Part D'!M:M,"Compliant")</f>
        <v/>
      </c>
      <c r="C22" s="19">
        <f>COUNTIF('Appendix 7 Part D'!M:M,"Partially Compliant")</f>
        <v/>
      </c>
      <c r="D22" s="20">
        <f>COUNTIF('Appendix 7 Part D'!M:M,"Non-Compliant")</f>
        <v/>
      </c>
      <c r="E22" s="21">
        <f>COUNTIF('Appendix 7 Part D'!M:M,"N/A")</f>
        <v/>
      </c>
      <c r="F22" s="9">
        <f>COUNTIFS('Appendix 7 Part D'!B:B,"&lt;&gt;",'Appendix 7 Part D'!C:C,"&lt;&gt;",'Appendix 7 Part D'!M:M,"=")-COUNTIF('Appendix 7 Part D'!B:B,"Ref")</f>
        <v/>
      </c>
      <c r="G22" s="9">
        <f>COUNTIFS('Appendix 7 Part D'!B:B,"&lt;&gt;",'Appendix 7 Part D'!C:C,"&lt;&gt;")-COUNTIF('Appendix 7 Part D'!B:B,"Ref")</f>
        <v/>
      </c>
      <c r="H22" s="22">
        <f>IF((G22-E22-F22)=0,"—",B22/(G22-E22-F22))</f>
        <v/>
      </c>
    </row>
    <row r="25">
      <c r="A25" s="2" t="inlineStr">
        <is>
          <t>LEVEL BREAKDOWN</t>
        </is>
      </c>
    </row>
    <row r="26">
      <c r="A26" s="10" t="inlineStr">
        <is>
          <t>Level</t>
        </is>
      </c>
      <c r="B26" s="10" t="inlineStr">
        <is>
          <t>Compliant</t>
        </is>
      </c>
      <c r="C26" s="10" t="inlineStr">
        <is>
          <t>Partially Compliant</t>
        </is>
      </c>
      <c r="D26" s="10" t="inlineStr">
        <is>
          <t>Non-Compliant</t>
        </is>
      </c>
      <c r="E26" s="10" t="inlineStr">
        <is>
          <t>N/A</t>
        </is>
      </c>
      <c r="F26" s="10" t="inlineStr">
        <is>
          <t>Not Assessed</t>
        </is>
      </c>
      <c r="G26" s="10" t="inlineStr">
        <is>
          <t>Total</t>
        </is>
      </c>
      <c r="H26" s="10" t="inlineStr"/>
    </row>
    <row r="27">
      <c r="A27" s="6" t="inlineStr">
        <is>
          <t>ORG</t>
        </is>
      </c>
      <c r="B27" s="18">
        <f>COUNTIFS('DCRA Assessment'!C:C,"ORG",'DCRA Assessment'!M:M,"Compliant")+COUNTIFS('Appendix 7 Part D'!C:C,"ORG",'Appendix 7 Part D'!M:M,"Compliant")</f>
        <v/>
      </c>
      <c r="C27" s="19">
        <f>COUNTIFS('DCRA Assessment'!C:C,"ORG",'DCRA Assessment'!M:M,"Partially Compliant")+COUNTIFS('Appendix 7 Part D'!C:C,"ORG",'Appendix 7 Part D'!M:M,"Partially Compliant")</f>
        <v/>
      </c>
      <c r="D27" s="20">
        <f>COUNTIFS('DCRA Assessment'!C:C,"ORG",'DCRA Assessment'!M:M,"Non-Compliant")+COUNTIFS('Appendix 7 Part D'!C:C,"ORG",'Appendix 7 Part D'!M:M,"Non-Compliant")</f>
        <v/>
      </c>
      <c r="E27" s="21">
        <f>COUNTIFS('DCRA Assessment'!C:C,"ORG",'DCRA Assessment'!M:M,"N/A")+COUNTIFS('Appendix 7 Part D'!C:C,"ORG",'Appendix 7 Part D'!M:M,"N/A")</f>
        <v/>
      </c>
      <c r="F27" s="9">
        <f>COUNTIFS('DCRA Assessment'!C:C,"ORG",'DCRA Assessment'!M:M,"=")+COUNTIFS('Appendix 7 Part D'!C:C,"ORG",'Appendix 7 Part D'!M:M,"=")</f>
        <v/>
      </c>
      <c r="G27" s="9">
        <f>SUM(B27:F27)</f>
        <v/>
      </c>
    </row>
    <row r="28">
      <c r="A28" s="6" t="inlineStr">
        <is>
          <t>PLATFORM</t>
        </is>
      </c>
      <c r="B28" s="18">
        <f>COUNTIFS('DCRA Assessment'!C:C,"PLATFORM",'DCRA Assessment'!M:M,"Compliant")+COUNTIFS('Appendix 7 Part D'!C:C,"PLATFORM",'Appendix 7 Part D'!M:M,"Compliant")</f>
        <v/>
      </c>
      <c r="C28" s="19">
        <f>COUNTIFS('DCRA Assessment'!C:C,"PLATFORM",'DCRA Assessment'!M:M,"Partially Compliant")+COUNTIFS('Appendix 7 Part D'!C:C,"PLATFORM",'Appendix 7 Part D'!M:M,"Partially Compliant")</f>
        <v/>
      </c>
      <c r="D28" s="20">
        <f>COUNTIFS('DCRA Assessment'!C:C,"PLATFORM",'DCRA Assessment'!M:M,"Non-Compliant")+COUNTIFS('Appendix 7 Part D'!C:C,"PLATFORM",'Appendix 7 Part D'!M:M,"Non-Compliant")</f>
        <v/>
      </c>
      <c r="E28" s="21">
        <f>COUNTIFS('DCRA Assessment'!C:C,"PLATFORM",'DCRA Assessment'!M:M,"N/A")+COUNTIFS('Appendix 7 Part D'!C:C,"PLATFORM",'Appendix 7 Part D'!M:M,"N/A")</f>
        <v/>
      </c>
      <c r="F28" s="9">
        <f>COUNTIFS('DCRA Assessment'!C:C,"PLATFORM",'DCRA Assessment'!M:M,"=")+COUNTIFS('Appendix 7 Part D'!C:C,"PLATFORM",'Appendix 7 Part D'!M:M,"=")</f>
        <v/>
      </c>
      <c r="G28" s="9">
        <f>SUM(B28:F28)</f>
        <v/>
      </c>
    </row>
    <row r="29">
      <c r="A29" s="6" t="inlineStr">
        <is>
          <t>WORKLOAD</t>
        </is>
      </c>
      <c r="B29" s="18">
        <f>COUNTIFS('DCRA Assessment'!C:C,"WORKLOAD",'DCRA Assessment'!M:M,"Compliant")+COUNTIFS('Appendix 7 Part D'!C:C,"WORKLOAD",'Appendix 7 Part D'!M:M,"Compliant")</f>
        <v/>
      </c>
      <c r="C29" s="19">
        <f>COUNTIFS('DCRA Assessment'!C:C,"WORKLOAD",'DCRA Assessment'!M:M,"Partially Compliant")+COUNTIFS('Appendix 7 Part D'!C:C,"WORKLOAD",'Appendix 7 Part D'!M:M,"Partially Compliant")</f>
        <v/>
      </c>
      <c r="D29" s="20">
        <f>COUNTIFS('DCRA Assessment'!C:C,"WORKLOAD",'DCRA Assessment'!M:M,"Non-Compliant")+COUNTIFS('Appendix 7 Part D'!C:C,"WORKLOAD",'Appendix 7 Part D'!M:M,"Non-Compliant")</f>
        <v/>
      </c>
      <c r="E29" s="21">
        <f>COUNTIFS('DCRA Assessment'!C:C,"WORKLOAD",'DCRA Assessment'!M:M,"N/A")+COUNTIFS('Appendix 7 Part D'!C:C,"WORKLOAD",'Appendix 7 Part D'!M:M,"N/A")</f>
        <v/>
      </c>
      <c r="F29" s="9">
        <f>COUNTIFS('DCRA Assessment'!C:C,"WORKLOAD",'DCRA Assessment'!M:M,"=")+COUNTIFS('Appendix 7 Part D'!C:C,"WORKLOAD",'Appendix 7 Part D'!M:M,"=")</f>
        <v/>
      </c>
      <c r="G29" s="9">
        <f>SUM(B29:F29)</f>
        <v/>
      </c>
    </row>
  </sheetData>
  <mergeCells count="7">
    <mergeCell ref="A1:H1"/>
    <mergeCell ref="A3:H3"/>
    <mergeCell ref="B17:H17"/>
    <mergeCell ref="A15:B15"/>
    <mergeCell ref="A25:H25"/>
    <mergeCell ref="A19:H19"/>
    <mergeCell ref="A5:H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2026-03-31T16:19:09Z</dcterms:created>
  <dcterms:modified xmlns:dcterms="http://purl.org/dc/terms/" xmlns:xsi="http://www.w3.org/2001/XMLSchema-instance" xsi:type="dcterms:W3CDTF">2026-03-31T16:19:09Z</dcterms:modified>
</cp:coreProperties>
</file>