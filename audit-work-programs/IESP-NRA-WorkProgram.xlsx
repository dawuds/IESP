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NRA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b val="1"/>
      <color rgb="00FFFFFF"/>
      <sz val="11"/>
    </font>
    <font>
      <name val="Calibri"/>
      <b val="1"/>
      <color rgb="002F5496"/>
      <sz val="11"/>
    </font>
    <font>
      <name val="Calibri"/>
      <i val="1"/>
      <sz val="10"/>
    </font>
  </fonts>
  <fills count="10">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E2EFDA"/>
        <bgColor rgb="00E2EFDA"/>
      </patternFill>
    </fill>
    <fill>
      <patternFill patternType="solid">
        <fgColor rgb="00FFF2CC"/>
        <bgColor rgb="00FFF2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2" borderId="1" pivotButton="0" quotePrefix="0" xfId="0"/>
    <xf numFmtId="0" fontId="4" fillId="0" borderId="1" pivotButton="0" quotePrefix="0" xfId="0"/>
    <xf numFmtId="0" fontId="5" fillId="2" borderId="1" applyAlignment="1" pivotButton="0" quotePrefix="0" xfId="0">
      <alignment horizontal="center" vertical="top" wrapText="1"/>
    </xf>
    <xf numFmtId="0" fontId="6" fillId="3" borderId="1" pivotButton="0" quotePrefix="0" xfId="0"/>
    <xf numFmtId="0" fontId="0" fillId="3" borderId="1" pivotButton="0" quotePrefix="0" xfId="0"/>
    <xf numFmtId="0" fontId="7" fillId="0" borderId="1" applyAlignment="1" pivotButton="0" quotePrefix="0" xfId="0">
      <alignment vertical="top" wrapText="1"/>
    </xf>
    <xf numFmtId="0" fontId="0" fillId="0" borderId="1"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7" fillId="0" borderId="0" applyAlignment="1" pivotButton="0" quotePrefix="0" xfId="0">
      <alignment vertical="top" wrapText="1"/>
    </xf>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164" fontId="4" fillId="0"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INDEPENDENT ASSESSMENT — METHODOLOGY &amp; APPROACH</t>
        </is>
      </c>
    </row>
    <row r="2">
      <c r="A2" s="2" t="inlineStr">
        <is>
          <t>BNM RMiT IESP — Network Resilience Assessment (NRA)</t>
        </is>
      </c>
    </row>
    <row r="4">
      <c r="A4" s="2" t="inlineStr">
        <is>
          <t>ENGAGEMENT DETAILS</t>
        </is>
      </c>
    </row>
    <row r="5">
      <c r="A5" s="3" t="inlineStr">
        <is>
          <t>Entity Name:</t>
        </is>
      </c>
      <c r="B5" s="4" t="inlineStr">
        <is>
          <t>[Entity Name]</t>
        </is>
      </c>
    </row>
    <row r="6">
      <c r="A6" s="3" t="inlineStr">
        <is>
          <t>Engagement Type:</t>
        </is>
      </c>
      <c r="B6" s="4" t="inlineStr">
        <is>
          <t>Network Resilience Assessment (NRA)</t>
        </is>
      </c>
    </row>
    <row r="7">
      <c r="A7" s="3" t="inlineStr">
        <is>
          <t>Regulatory Basis:</t>
        </is>
      </c>
      <c r="B7" s="4" t="inlineStr">
        <is>
          <t>Paragraph 14.2, mapped to paragraphs 10.36 to 10.43</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Paragraph 14.2.</t>
        </is>
      </c>
    </row>
    <row r="16">
      <c r="A16" s="5" t="inlineStr">
        <is>
          <t>Assessment covers: (1) NRA — network design, resilience, monitoring, security, segmentation (10.36-10.43, 8 domains),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7:N77"/>
    <mergeCell ref="A83:N83"/>
    <mergeCell ref="A24:N24"/>
    <mergeCell ref="A15:N15"/>
    <mergeCell ref="B51:N51"/>
    <mergeCell ref="A36:N36"/>
    <mergeCell ref="A1:N1"/>
    <mergeCell ref="A79:N79"/>
    <mergeCell ref="A78:N78"/>
    <mergeCell ref="A16:N16"/>
    <mergeCell ref="A75:N75"/>
    <mergeCell ref="A80:N80"/>
    <mergeCell ref="A18:N18"/>
    <mergeCell ref="A50:N50"/>
    <mergeCell ref="A21:N21"/>
    <mergeCell ref="A2:N2"/>
    <mergeCell ref="A76:N76"/>
    <mergeCell ref="A42:N42"/>
    <mergeCell ref="A14:N14"/>
    <mergeCell ref="A22:N22"/>
    <mergeCell ref="A4:N4"/>
    <mergeCell ref="A20:N20"/>
    <mergeCell ref="A29:N29"/>
    <mergeCell ref="A81:N81"/>
    <mergeCell ref="A19:N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Network Resilience Assessment (NRA)</t>
        </is>
      </c>
    </row>
    <row r="3">
      <c r="A3" s="2" t="inlineStr">
        <is>
          <t>ASSESSMENT LEVELS</t>
        </is>
      </c>
    </row>
    <row r="4">
      <c r="A4" s="3" t="inlineStr">
        <is>
          <t>ORG</t>
        </is>
      </c>
      <c r="B4" s="5" t="inlineStr">
        <is>
          <t>Organisation / Enterprise level. Assessed ONCE per engagement. Policies, frameworks, governance structures that apply across all platforms and systems.</t>
        </is>
      </c>
    </row>
    <row r="5">
      <c r="A5" s="3" t="inlineStr">
        <is>
          <t>PLATFORM</t>
        </is>
      </c>
      <c r="B5" s="5" t="inlineStr">
        <is>
          <t>Platform / CSP level. Assessed PER PLATFORM in scope. If the FI uses AWS and Azure, repeat these test steps for each. Covers platform-specific configurations and controls.</t>
        </is>
      </c>
    </row>
    <row r="6">
      <c r="A6" s="3" t="inlineStr">
        <is>
          <t>WORKLOAD</t>
        </is>
      </c>
      <c r="B6" s="5" t="inlineStr">
        <is>
          <t>Workload / Application / System level. Assessed PER CRITICAL SYSTEM in scope using sampling. Covers system-specific deployments, configurations, and arrangements.</t>
        </is>
      </c>
    </row>
    <row r="8">
      <c r="A8" s="2" t="inlineStr">
        <is>
          <t>PLATFORMS / CSPs IN SCOPE</t>
        </is>
      </c>
    </row>
    <row r="9">
      <c r="A9" s="8" t="inlineStr">
        <is>
          <t>#</t>
        </is>
      </c>
      <c r="B9" s="8" t="inlineStr">
        <is>
          <t>Platform / CSP</t>
        </is>
      </c>
      <c r="C9" s="8" t="inlineStr">
        <is>
          <t>Service Models (IaaS/PaaS/SaaS)</t>
        </is>
      </c>
      <c r="D9" s="8" t="inlineStr">
        <is>
          <t>Regions</t>
        </is>
      </c>
      <c r="E9" s="8" t="inlineStr">
        <is>
          <t>Contract Ref</t>
        </is>
      </c>
      <c r="F9" s="8" t="inlineStr">
        <is>
          <t>Notes</t>
        </is>
      </c>
    </row>
    <row r="10">
      <c r="A10" s="9" t="inlineStr">
        <is>
          <t>1</t>
        </is>
      </c>
      <c r="B10" s="9" t="inlineStr"/>
      <c r="C10" s="9" t="inlineStr"/>
      <c r="D10" s="9" t="inlineStr"/>
      <c r="E10" s="9" t="inlineStr"/>
      <c r="F10" s="9" t="inlineStr"/>
    </row>
    <row r="11">
      <c r="A11" s="9" t="inlineStr">
        <is>
          <t>2</t>
        </is>
      </c>
      <c r="B11" s="9" t="inlineStr"/>
      <c r="C11" s="9" t="inlineStr"/>
      <c r="D11" s="9" t="inlineStr"/>
      <c r="E11" s="9" t="inlineStr"/>
      <c r="F11" s="9" t="inlineStr"/>
    </row>
    <row r="12">
      <c r="A12" s="9" t="inlineStr">
        <is>
          <t>3</t>
        </is>
      </c>
      <c r="B12" s="9" t="inlineStr"/>
      <c r="C12" s="9" t="inlineStr"/>
      <c r="D12" s="9" t="inlineStr"/>
      <c r="E12" s="9" t="inlineStr"/>
      <c r="F12" s="9" t="inlineStr"/>
    </row>
    <row r="13">
      <c r="A13" s="9" t="inlineStr">
        <is>
          <t>4</t>
        </is>
      </c>
      <c r="B13" s="9" t="inlineStr"/>
      <c r="C13" s="9" t="inlineStr"/>
      <c r="D13" s="9" t="inlineStr"/>
      <c r="E13" s="9" t="inlineStr"/>
      <c r="F13" s="9" t="inlineStr"/>
    </row>
    <row r="14">
      <c r="A14" s="9" t="inlineStr">
        <is>
          <t>5</t>
        </is>
      </c>
      <c r="B14" s="9" t="inlineStr"/>
      <c r="C14" s="9" t="inlineStr"/>
      <c r="D14" s="9" t="inlineStr"/>
      <c r="E14" s="9" t="inlineStr"/>
      <c r="F14" s="9" t="inlineStr"/>
    </row>
    <row r="16">
      <c r="A16" s="2" t="inlineStr">
        <is>
          <t>CRITICAL SYSTEMS / WORKLOADS IN SCOPE</t>
        </is>
      </c>
    </row>
    <row r="17">
      <c r="A17" s="8" t="inlineStr">
        <is>
          <t>#</t>
        </is>
      </c>
      <c r="B17" s="8" t="inlineStr">
        <is>
          <t>System / Application Name</t>
        </is>
      </c>
      <c r="C17" s="8" t="inlineStr">
        <is>
          <t>Platform</t>
        </is>
      </c>
      <c r="D17" s="8" t="inlineStr">
        <is>
          <t>Criticality</t>
        </is>
      </c>
      <c r="E17" s="8" t="inlineStr">
        <is>
          <t>Data Classification</t>
        </is>
      </c>
      <c r="F17" s="8" t="inlineStr">
        <is>
          <t>Notes</t>
        </is>
      </c>
    </row>
    <row r="18">
      <c r="A18" s="9" t="inlineStr">
        <is>
          <t>1</t>
        </is>
      </c>
      <c r="B18" s="9" t="inlineStr"/>
      <c r="C18" s="9" t="inlineStr"/>
      <c r="D18" s="9" t="inlineStr"/>
      <c r="E18" s="9" t="inlineStr"/>
      <c r="F18" s="9" t="inlineStr"/>
    </row>
    <row r="19">
      <c r="A19" s="9" t="inlineStr">
        <is>
          <t>2</t>
        </is>
      </c>
      <c r="B19" s="9" t="inlineStr"/>
      <c r="C19" s="9" t="inlineStr"/>
      <c r="D19" s="9" t="inlineStr"/>
      <c r="E19" s="9" t="inlineStr"/>
      <c r="F19" s="9" t="inlineStr"/>
    </row>
    <row r="20">
      <c r="A20" s="9" t="inlineStr">
        <is>
          <t>3</t>
        </is>
      </c>
      <c r="B20" s="9" t="inlineStr"/>
      <c r="C20" s="9" t="inlineStr"/>
      <c r="D20" s="9" t="inlineStr"/>
      <c r="E20" s="9" t="inlineStr"/>
      <c r="F20" s="9" t="inlineStr"/>
    </row>
    <row r="21">
      <c r="A21" s="9" t="inlineStr">
        <is>
          <t>4</t>
        </is>
      </c>
      <c r="B21" s="9" t="inlineStr"/>
      <c r="C21" s="9" t="inlineStr"/>
      <c r="D21" s="9" t="inlineStr"/>
      <c r="E21" s="9" t="inlineStr"/>
      <c r="F21" s="9" t="inlineStr"/>
    </row>
    <row r="22">
      <c r="A22" s="9" t="inlineStr">
        <is>
          <t>5</t>
        </is>
      </c>
      <c r="B22" s="9" t="inlineStr"/>
      <c r="C22" s="9" t="inlineStr"/>
      <c r="D22" s="9" t="inlineStr"/>
      <c r="E22" s="9" t="inlineStr"/>
      <c r="F22" s="9" t="inlineStr"/>
    </row>
    <row r="23">
      <c r="A23" s="9" t="inlineStr">
        <is>
          <t>6</t>
        </is>
      </c>
      <c r="B23" s="9" t="inlineStr"/>
      <c r="C23" s="9" t="inlineStr"/>
      <c r="D23" s="9" t="inlineStr"/>
      <c r="E23" s="9" t="inlineStr"/>
      <c r="F23" s="9" t="inlineStr"/>
    </row>
    <row r="24">
      <c r="A24" s="9" t="inlineStr">
        <is>
          <t>7</t>
        </is>
      </c>
      <c r="B24" s="9" t="inlineStr"/>
      <c r="C24" s="9" t="inlineStr"/>
      <c r="D24" s="9" t="inlineStr"/>
      <c r="E24" s="9" t="inlineStr"/>
      <c r="F24" s="9" t="inlineStr"/>
    </row>
    <row r="25">
      <c r="A25" s="9" t="inlineStr">
        <is>
          <t>8</t>
        </is>
      </c>
      <c r="B25" s="9" t="inlineStr"/>
      <c r="C25" s="9" t="inlineStr"/>
      <c r="D25" s="9" t="inlineStr"/>
      <c r="E25" s="9" t="inlineStr"/>
      <c r="F25" s="9" t="inlineStr"/>
    </row>
    <row r="26">
      <c r="A26" s="9" t="inlineStr">
        <is>
          <t>9</t>
        </is>
      </c>
      <c r="B26" s="9" t="inlineStr"/>
      <c r="C26" s="9" t="inlineStr"/>
      <c r="D26" s="9" t="inlineStr"/>
      <c r="E26" s="9" t="inlineStr"/>
      <c r="F26" s="9" t="inlineStr"/>
    </row>
    <row r="27">
      <c r="A27" s="9" t="inlineStr">
        <is>
          <t>10</t>
        </is>
      </c>
      <c r="B27" s="9" t="inlineStr"/>
      <c r="C27" s="9" t="inlineStr"/>
      <c r="D27" s="9" t="inlineStr"/>
      <c r="E27" s="9" t="inlineStr"/>
      <c r="F27" s="9" t="inlineStr"/>
    </row>
    <row r="29">
      <c r="A29" s="2" t="inlineStr">
        <is>
          <t>SAMPLING APPROACH</t>
        </is>
      </c>
    </row>
    <row r="30">
      <c r="A30" s="3" t="inlineStr">
        <is>
          <t>Assessment Period:</t>
        </is>
      </c>
      <c r="B30" s="4" t="inlineStr">
        <is>
          <t>[Start Date] to [End Date]</t>
        </is>
      </c>
    </row>
    <row r="31">
      <c r="A31" s="3" t="inlineStr">
        <is>
          <t>User Access Samples:</t>
        </is>
      </c>
      <c r="B31" s="4" t="inlineStr">
        <is>
          <t>[e.g., 20 user accounts, 10 leavers/transfers]</t>
        </is>
      </c>
    </row>
    <row r="32">
      <c r="A32" s="3" t="inlineStr">
        <is>
          <t>Change Management Samples:</t>
        </is>
      </c>
      <c r="B32" s="4" t="inlineStr">
        <is>
          <t>[e.g., 10 recent changes]</t>
        </is>
      </c>
    </row>
    <row r="33">
      <c r="A33" s="3" t="inlineStr">
        <is>
          <t>Incident Samples:</t>
        </is>
      </c>
      <c r="B33" s="4" t="inlineStr">
        <is>
          <t>[e.g., 15 SOC alerts, all significant incidents in period]</t>
        </is>
      </c>
    </row>
    <row r="34">
      <c r="A34" s="3" t="inlineStr">
        <is>
          <t>Firewall Rule Samples:</t>
        </is>
      </c>
      <c r="B34" s="4" t="inlineStr">
        <is>
          <t>[e.g., 20 rules]</t>
        </is>
      </c>
    </row>
    <row r="35">
      <c r="A35" s="3" t="inlineStr">
        <is>
          <t>Configuration Samples:</t>
        </is>
      </c>
      <c r="B35" s="4" t="inlineStr">
        <is>
          <t>[e.g., 10 network devices]</t>
        </is>
      </c>
    </row>
  </sheetData>
  <mergeCells count="14">
    <mergeCell ref="B4:F4"/>
    <mergeCell ref="A16:F16"/>
    <mergeCell ref="B30:F30"/>
    <mergeCell ref="B6:F6"/>
    <mergeCell ref="B32:F32"/>
    <mergeCell ref="B34:F34"/>
    <mergeCell ref="B33:F33"/>
    <mergeCell ref="A1:F1"/>
    <mergeCell ref="B5:F5"/>
    <mergeCell ref="A8:F8"/>
    <mergeCell ref="B31:F31"/>
    <mergeCell ref="A3:F3"/>
    <mergeCell ref="A29:F29"/>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8" t="inlineStr">
        <is>
          <t>Step</t>
        </is>
      </c>
      <c r="B3" s="8" t="inlineStr">
        <is>
          <t>Activity</t>
        </is>
      </c>
      <c r="C3" s="8" t="inlineStr">
        <is>
          <t>Responsible</t>
        </is>
      </c>
      <c r="D3" s="8" t="inlineStr">
        <is>
          <t>Status</t>
        </is>
      </c>
      <c r="E3" s="8"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5"/>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0" t="inlineStr">
        <is>
          <t>BNM Ref</t>
        </is>
      </c>
      <c r="B1" s="10" t="inlineStr">
        <is>
          <t>Ref</t>
        </is>
      </c>
      <c r="C1" s="10" t="inlineStr">
        <is>
          <t>Level</t>
        </is>
      </c>
      <c r="D1" s="10" t="inlineStr">
        <is>
          <t>Control Domain</t>
        </is>
      </c>
      <c r="E1" s="10" t="inlineStr">
        <is>
          <t>Sub-Procedure</t>
        </is>
      </c>
      <c r="F1" s="10" t="inlineStr">
        <is>
          <t>Assessment Procedures</t>
        </is>
      </c>
      <c r="G1" s="10" t="inlineStr">
        <is>
          <t>Expected Evidence</t>
        </is>
      </c>
      <c r="H1" s="10" t="inlineStr">
        <is>
          <t>Method</t>
        </is>
      </c>
      <c r="I1" s="10" t="inlineStr">
        <is>
          <t>Procedures Performed</t>
        </is>
      </c>
      <c r="J1" s="10" t="inlineStr">
        <is>
          <t>Evidence Obtained</t>
        </is>
      </c>
      <c r="K1" s="10" t="inlineStr">
        <is>
          <t>Evidence Ref</t>
        </is>
      </c>
      <c r="L1" s="10" t="inlineStr">
        <is>
          <t>Observations</t>
        </is>
      </c>
      <c r="M1" s="10" t="inlineStr">
        <is>
          <t>Conclusion</t>
        </is>
      </c>
      <c r="N1" s="10" t="inlineStr">
        <is>
          <t>Recommendations</t>
        </is>
      </c>
    </row>
    <row r="2">
      <c r="A2" s="11" t="inlineStr">
        <is>
          <t>Domain 1 — Network Design (10.36)</t>
        </is>
      </c>
      <c r="B2" s="12" t="n"/>
      <c r="C2" s="12" t="n"/>
      <c r="D2" s="12" t="n"/>
      <c r="E2" s="12" t="n"/>
      <c r="F2" s="12" t="n"/>
      <c r="G2" s="12" t="n"/>
      <c r="H2" s="12" t="n"/>
      <c r="I2" s="12" t="n"/>
      <c r="J2" s="12" t="n"/>
      <c r="K2" s="12" t="n"/>
      <c r="L2" s="12" t="n"/>
      <c r="M2" s="12" t="n"/>
      <c r="N2" s="12" t="n"/>
    </row>
    <row r="3">
      <c r="A3" s="13" t="inlineStr">
        <is>
          <t>Network must be designed for current and future capacity. Expect documented capacity planning, scalability, performance SLAs. Under-capacity networks degrade service availability.</t>
        </is>
      </c>
      <c r="B3" s="14" t="n"/>
      <c r="C3" s="14" t="n"/>
      <c r="D3" s="14" t="n"/>
      <c r="E3" s="14" t="n"/>
      <c r="F3" s="14" t="n"/>
      <c r="G3" s="14" t="n"/>
      <c r="H3" s="14" t="n"/>
      <c r="I3" s="14" t="n"/>
      <c r="J3" s="14" t="n"/>
      <c r="K3" s="14" t="n"/>
      <c r="L3" s="14" t="n"/>
      <c r="M3" s="14" t="n"/>
      <c r="N3" s="14" t="n"/>
    </row>
    <row r="4">
      <c r="A4" s="15" t="inlineStr">
        <is>
          <t>10.36</t>
        </is>
      </c>
      <c r="B4" s="15" t="inlineStr">
        <is>
          <t>NRA-01</t>
        </is>
      </c>
      <c r="C4" s="15" t="inlineStr">
        <is>
          <t>ORG</t>
        </is>
      </c>
      <c r="D4" s="15" t="inlineStr">
        <is>
          <t>Network Design</t>
        </is>
      </c>
      <c r="E4" s="15" t="inlineStr">
        <is>
          <t>Capacity planning, scalability, and performance SLAs</t>
        </is>
      </c>
      <c r="F4" s="15" t="inlineStr"/>
      <c r="G4" s="15" t="inlineStr"/>
      <c r="H4" s="15" t="inlineStr"/>
      <c r="I4" s="15" t="inlineStr"/>
      <c r="J4" s="15" t="inlineStr"/>
      <c r="K4" s="15" t="inlineStr"/>
      <c r="L4" s="15" t="inlineStr"/>
      <c r="M4" s="16" t="inlineStr"/>
      <c r="N4" s="16" t="inlineStr"/>
    </row>
    <row r="5">
      <c r="A5" s="7" t="inlineStr">
        <is>
          <t>10.36</t>
        </is>
      </c>
      <c r="B5" s="7" t="inlineStr">
        <is>
          <t>NRA-01.1</t>
        </is>
      </c>
      <c r="C5" s="7" t="inlineStr"/>
      <c r="D5" s="7" t="inlineStr"/>
      <c r="E5" s="7" t="inlineStr">
        <is>
          <t>Capacity requirements and planning</t>
        </is>
      </c>
      <c r="F5" s="7" t="inlineStr">
        <is>
          <t>1. Obtain capacity planning document.
2. Review bandwidth utilisation across critical links.
3. Verify 2-year growth projections.
4. Check utilisation thresholds trigger augmentation.</t>
        </is>
      </c>
      <c r="G5" s="7" t="inlineStr">
        <is>
          <t>Capacity planning document; Bandwidth utilisation reports (12 months); Growth projection model</t>
        </is>
      </c>
      <c r="H5" s="7" t="inlineStr">
        <is>
          <t>Inspection</t>
        </is>
      </c>
      <c r="I5" s="7" t="inlineStr"/>
      <c r="J5" s="7" t="inlineStr"/>
      <c r="K5" s="7" t="inlineStr"/>
      <c r="L5" s="7" t="inlineStr"/>
      <c r="M5" s="7" t="inlineStr"/>
      <c r="N5" s="7" t="inlineStr"/>
    </row>
    <row r="6">
      <c r="A6" s="7" t="inlineStr">
        <is>
          <t>10.36</t>
        </is>
      </c>
      <c r="B6" s="7" t="inlineStr">
        <is>
          <t>NRA-01.2</t>
        </is>
      </c>
      <c r="C6" s="7" t="inlineStr"/>
      <c r="D6" s="7" t="inlineStr"/>
      <c r="E6" s="7" t="inlineStr">
        <is>
          <t>Scalability and technology currency</t>
        </is>
      </c>
      <c r="F6" s="7" t="inlineStr">
        <is>
          <t>1. Review architecture for modular/scalable design.
2. Assess whether it can accommodate growth without redesign.
3. Check technology currency — platforms within vendor support.</t>
        </is>
      </c>
      <c r="G6" s="7" t="inlineStr">
        <is>
          <t>Architecture design principles; Technology lifecycle tracker; Scalability assessment</t>
        </is>
      </c>
      <c r="H6" s="7" t="inlineStr">
        <is>
          <t>Inspection</t>
        </is>
      </c>
      <c r="I6" s="7" t="inlineStr"/>
      <c r="J6" s="7" t="inlineStr"/>
      <c r="K6" s="7" t="inlineStr"/>
      <c r="L6" s="7" t="inlineStr"/>
      <c r="M6" s="7" t="inlineStr"/>
      <c r="N6" s="7" t="inlineStr"/>
    </row>
    <row r="7">
      <c r="A7" s="7" t="inlineStr"/>
      <c r="B7" s="7" t="inlineStr">
        <is>
          <t>NRA-01.3</t>
        </is>
      </c>
      <c r="C7" s="7" t="inlineStr"/>
      <c r="D7" s="7" t="inlineStr"/>
      <c r="E7" s="7" t="inlineStr">
        <is>
          <t>Performance SLAs</t>
        </is>
      </c>
      <c r="F7" s="7" t="inlineStr">
        <is>
          <t>1. Obtain SLA definitions (latency, jitter, packet loss, availability).
2. Verify monitoring tools.
3. Review SLA performance (6 months).
4. Check breaches trigger investigation.</t>
        </is>
      </c>
      <c r="G7" s="7" t="inlineStr">
        <is>
          <t>SLA definitions; Performance monitoring reports; SLA breach incident records</t>
        </is>
      </c>
      <c r="H7" s="7" t="inlineStr">
        <is>
          <t>Inspection</t>
        </is>
      </c>
      <c r="I7" s="7" t="inlineStr"/>
      <c r="J7" s="7" t="inlineStr"/>
      <c r="K7" s="7" t="inlineStr"/>
      <c r="L7" s="7" t="inlineStr"/>
      <c r="M7" s="7" t="inlineStr"/>
      <c r="N7" s="7" t="inlineStr"/>
    </row>
    <row r="8">
      <c r="A8" s="11" t="inlineStr">
        <is>
          <t>Domain 2 — Network Resilience (10.37)</t>
        </is>
      </c>
      <c r="B8" s="12" t="n"/>
      <c r="C8" s="12" t="n"/>
      <c r="D8" s="12" t="n"/>
      <c r="E8" s="12" t="n"/>
      <c r="F8" s="12" t="n"/>
      <c r="G8" s="12" t="n"/>
      <c r="H8" s="12" t="n"/>
      <c r="I8" s="12" t="n"/>
      <c r="J8" s="12" t="n"/>
      <c r="K8" s="12" t="n"/>
      <c r="L8" s="12" t="n"/>
      <c r="M8" s="12" t="n"/>
      <c r="N8" s="12" t="n"/>
    </row>
    <row r="9">
      <c r="A9" s="13" t="inlineStr">
        <is>
          <t>Network redundancy prevents outages. Expect diverse paths, HA pairs, carrier diversity. Network outage impacts all services.</t>
        </is>
      </c>
      <c r="B9" s="14" t="n"/>
      <c r="C9" s="14" t="n"/>
      <c r="D9" s="14" t="n"/>
      <c r="E9" s="14" t="n"/>
      <c r="F9" s="14" t="n"/>
      <c r="G9" s="14" t="n"/>
      <c r="H9" s="14" t="n"/>
      <c r="I9" s="14" t="n"/>
      <c r="J9" s="14" t="n"/>
      <c r="K9" s="14" t="n"/>
      <c r="L9" s="14" t="n"/>
      <c r="M9" s="14" t="n"/>
      <c r="N9" s="14" t="n"/>
    </row>
    <row r="10">
      <c r="A10" s="15" t="inlineStr">
        <is>
          <t>10.37</t>
        </is>
      </c>
      <c r="B10" s="15" t="inlineStr">
        <is>
          <t>NRA-02</t>
        </is>
      </c>
      <c r="C10" s="15" t="inlineStr">
        <is>
          <t>PLATFORM</t>
        </is>
      </c>
      <c r="D10" s="15" t="inlineStr">
        <is>
          <t>Network Resilience</t>
        </is>
      </c>
      <c r="E10" s="15" t="inlineStr">
        <is>
          <t>Redundancy, diverse paths, HA pairs, and carrier diversity</t>
        </is>
      </c>
      <c r="F10" s="15" t="inlineStr"/>
      <c r="G10" s="15" t="inlineStr"/>
      <c r="H10" s="15" t="inlineStr"/>
      <c r="I10" s="15" t="inlineStr"/>
      <c r="J10" s="15" t="inlineStr"/>
      <c r="K10" s="15" t="inlineStr"/>
      <c r="L10" s="15" t="inlineStr"/>
      <c r="M10" s="16" t="inlineStr"/>
      <c r="N10" s="16" t="inlineStr"/>
    </row>
    <row r="11">
      <c r="A11" s="7" t="inlineStr">
        <is>
          <t>10.37</t>
        </is>
      </c>
      <c r="B11" s="7" t="inlineStr">
        <is>
          <t>NRA-02.1</t>
        </is>
      </c>
      <c r="C11" s="7" t="inlineStr"/>
      <c r="D11" s="7" t="inlineStr"/>
      <c r="E11" s="7" t="inlineStr">
        <is>
          <t>Redundancy for critical paths</t>
        </is>
      </c>
      <c r="F11" s="7" t="inlineStr">
        <is>
          <t>1. Review topology for redundancy at each layer.
2. Verify redundant paths (dual WAN, diverse carriers).
3. Confirm redundant devices (HA pairs).
4. Verify physical route diversity.</t>
        </is>
      </c>
      <c r="G11" s="7" t="inlineStr">
        <is>
          <t>Network topology with redundancy; Carrier diversity docs; HA configuration evidence</t>
        </is>
      </c>
      <c r="H11" s="7" t="inlineStr">
        <is>
          <t>Inspection</t>
        </is>
      </c>
      <c r="I11" s="7" t="inlineStr"/>
      <c r="J11" s="7" t="inlineStr"/>
      <c r="K11" s="7" t="inlineStr"/>
      <c r="L11" s="7" t="inlineStr"/>
      <c r="M11" s="7" t="inlineStr"/>
      <c r="N11" s="7" t="inlineStr"/>
    </row>
    <row r="12">
      <c r="A12" s="7" t="inlineStr">
        <is>
          <t>10.37</t>
        </is>
      </c>
      <c r="B12" s="7" t="inlineStr">
        <is>
          <t>NRA-02.2</t>
        </is>
      </c>
      <c r="C12" s="7" t="inlineStr"/>
      <c r="D12" s="7" t="inlineStr"/>
      <c r="E12" s="7" t="inlineStr">
        <is>
          <t>Carrier/ISP management</t>
        </is>
      </c>
      <c r="F12" s="7" t="inlineStr">
        <is>
          <t>1. Review carrier contracts and SLAs.
2. Verify at least two independent carriers.
3. Check carrier performance against SLAs (12 months).
4. Confirm escalation procedures.</t>
        </is>
      </c>
      <c r="G12" s="7" t="inlineStr">
        <is>
          <t>Carrier contracts; Carrier diversity mapping; Performance reports; Escalation contacts</t>
        </is>
      </c>
      <c r="H12" s="7" t="inlineStr">
        <is>
          <t>Inspection</t>
        </is>
      </c>
      <c r="I12" s="7" t="inlineStr"/>
      <c r="J12" s="7" t="inlineStr"/>
      <c r="K12" s="7" t="inlineStr"/>
      <c r="L12" s="7" t="inlineStr"/>
      <c r="M12" s="7" t="inlineStr"/>
      <c r="N12" s="7" t="inlineStr"/>
    </row>
    <row r="13">
      <c r="A13" s="11" t="inlineStr">
        <is>
          <t>Domain 3 — Resilience Measures (10.38)</t>
        </is>
      </c>
      <c r="B13" s="12" t="n"/>
      <c r="C13" s="12" t="n"/>
      <c r="D13" s="12" t="n"/>
      <c r="E13" s="12" t="n"/>
      <c r="F13" s="12" t="n"/>
      <c r="G13" s="12" t="n"/>
      <c r="H13" s="12" t="n"/>
      <c r="I13" s="12" t="n"/>
      <c r="J13" s="12" t="n"/>
      <c r="K13" s="12" t="n"/>
      <c r="L13" s="12" t="n"/>
      <c r="M13" s="12" t="n"/>
      <c r="N13" s="12" t="n"/>
    </row>
    <row r="14">
      <c r="A14" s="13" t="inlineStr">
        <is>
          <t>Tested failover and DR ensure continuity. Expect regular failover tests and network DR plans.</t>
        </is>
      </c>
      <c r="B14" s="14" t="n"/>
      <c r="C14" s="14" t="n"/>
      <c r="D14" s="14" t="n"/>
      <c r="E14" s="14" t="n"/>
      <c r="F14" s="14" t="n"/>
      <c r="G14" s="14" t="n"/>
      <c r="H14" s="14" t="n"/>
      <c r="I14" s="14" t="n"/>
      <c r="J14" s="14" t="n"/>
      <c r="K14" s="14" t="n"/>
      <c r="L14" s="14" t="n"/>
      <c r="M14" s="14" t="n"/>
      <c r="N14" s="14" t="n"/>
    </row>
    <row r="15">
      <c r="A15" s="15" t="inlineStr">
        <is>
          <t>10.38</t>
        </is>
      </c>
      <c r="B15" s="15" t="inlineStr">
        <is>
          <t>NRA-03</t>
        </is>
      </c>
      <c r="C15" s="15" t="inlineStr">
        <is>
          <t>PLATFORM</t>
        </is>
      </c>
      <c r="D15" s="15" t="inlineStr">
        <is>
          <t>Resilience Measures</t>
        </is>
      </c>
      <c r="E15" s="15" t="inlineStr">
        <is>
          <t>Failover testing and network DR planning</t>
        </is>
      </c>
      <c r="F15" s="15" t="inlineStr"/>
      <c r="G15" s="15" t="inlineStr"/>
      <c r="H15" s="15" t="inlineStr"/>
      <c r="I15" s="15" t="inlineStr"/>
      <c r="J15" s="15" t="inlineStr"/>
      <c r="K15" s="15" t="inlineStr"/>
      <c r="L15" s="15" t="inlineStr"/>
      <c r="M15" s="16" t="inlineStr"/>
      <c r="N15" s="16" t="inlineStr"/>
    </row>
    <row r="16">
      <c r="A16" s="7" t="inlineStr">
        <is>
          <t>10.38</t>
        </is>
      </c>
      <c r="B16" s="7" t="inlineStr">
        <is>
          <t>NRA-03.1</t>
        </is>
      </c>
      <c r="C16" s="7" t="inlineStr"/>
      <c r="D16" s="7" t="inlineStr"/>
      <c r="E16" s="7" t="inlineStr">
        <is>
          <t>Failover testing</t>
        </is>
      </c>
      <c r="F16" s="7" t="inlineStr">
        <is>
          <t>1. Obtain failover test plan.
2. Review most recent tests (WAN, internet, core switches, firewalls).
3. Verify failover within acceptable times.
4. Check failures remediated.
5. Confirm realistic failure simulation.</t>
        </is>
      </c>
      <c r="G16" s="7" t="inlineStr">
        <is>
          <t>Failover test plans; Test execution reports; Remediation records</t>
        </is>
      </c>
      <c r="H16" s="7" t="inlineStr">
        <is>
          <t>Inspection</t>
        </is>
      </c>
      <c r="I16" s="7" t="inlineStr"/>
      <c r="J16" s="7" t="inlineStr"/>
      <c r="K16" s="7" t="inlineStr"/>
      <c r="L16" s="7" t="inlineStr"/>
      <c r="M16" s="7" t="inlineStr"/>
      <c r="N16" s="7" t="inlineStr"/>
    </row>
    <row r="17">
      <c r="A17" s="7" t="inlineStr">
        <is>
          <t>10.38</t>
        </is>
      </c>
      <c r="B17" s="7" t="inlineStr">
        <is>
          <t>NRA-03.2</t>
        </is>
      </c>
      <c r="C17" s="7" t="inlineStr"/>
      <c r="D17" s="7" t="inlineStr"/>
      <c r="E17" s="7" t="inlineStr">
        <is>
          <t>Network DR</t>
        </is>
      </c>
      <c r="F17" s="7" t="inlineStr">
        <is>
          <t>1. Review network DR plan.
2. Verify recovery procedures per critical segment.
3. Check network DR tested in DR exercises.
4. Confirm network RTO aligns with business requirements.</t>
        </is>
      </c>
      <c r="G17" s="7" t="inlineStr">
        <is>
          <t>Network DR plan; DR test results (network); RTO alignment mapping</t>
        </is>
      </c>
      <c r="H17" s="7" t="inlineStr">
        <is>
          <t>Inspection</t>
        </is>
      </c>
      <c r="I17" s="7" t="inlineStr"/>
      <c r="J17" s="7" t="inlineStr"/>
      <c r="K17" s="7" t="inlineStr"/>
      <c r="L17" s="7" t="inlineStr"/>
      <c r="M17" s="7" t="inlineStr"/>
      <c r="N17" s="7" t="inlineStr"/>
    </row>
    <row r="18">
      <c r="A18" s="11" t="inlineStr">
        <is>
          <t>Domain 4 — Network Monitoring (10.39)</t>
        </is>
      </c>
      <c r="B18" s="12" t="n"/>
      <c r="C18" s="12" t="n"/>
      <c r="D18" s="12" t="n"/>
      <c r="E18" s="12" t="n"/>
      <c r="F18" s="12" t="n"/>
      <c r="G18" s="12" t="n"/>
      <c r="H18" s="12" t="n"/>
      <c r="I18" s="12" t="n"/>
      <c r="J18" s="12" t="n"/>
      <c r="K18" s="12" t="n"/>
      <c r="L18" s="12" t="n"/>
      <c r="M18" s="12" t="n"/>
      <c r="N18" s="12" t="n"/>
    </row>
    <row r="19">
      <c r="A19" s="13" t="inlineStr">
        <is>
          <t>Network visibility enables performance management and threat detection. Expect comprehensive monitoring, flow analysis, anomaly detection, trend reporting. Unmonitored networks hide degradation and threats.</t>
        </is>
      </c>
      <c r="B19" s="14" t="n"/>
      <c r="C19" s="14" t="n"/>
      <c r="D19" s="14" t="n"/>
      <c r="E19" s="14" t="n"/>
      <c r="F19" s="14" t="n"/>
      <c r="G19" s="14" t="n"/>
      <c r="H19" s="14" t="n"/>
      <c r="I19" s="14" t="n"/>
      <c r="J19" s="14" t="n"/>
      <c r="K19" s="14" t="n"/>
      <c r="L19" s="14" t="n"/>
      <c r="M19" s="14" t="n"/>
      <c r="N19" s="14" t="n"/>
    </row>
    <row r="20">
      <c r="A20" s="15" t="inlineStr">
        <is>
          <t>10.39</t>
        </is>
      </c>
      <c r="B20" s="15" t="inlineStr">
        <is>
          <t>NRA-04</t>
        </is>
      </c>
      <c r="C20" s="15" t="inlineStr">
        <is>
          <t>PLATFORM</t>
        </is>
      </c>
      <c r="D20" s="15" t="inlineStr">
        <is>
          <t>Network Monitoring</t>
        </is>
      </c>
      <c r="E20" s="15" t="inlineStr">
        <is>
          <t>Comprehensive monitoring, traffic analysis, anomaly detection, and trend reporting</t>
        </is>
      </c>
      <c r="F20" s="15" t="inlineStr"/>
      <c r="G20" s="15" t="inlineStr"/>
      <c r="H20" s="15" t="inlineStr"/>
      <c r="I20" s="15" t="inlineStr"/>
      <c r="J20" s="15" t="inlineStr"/>
      <c r="K20" s="15" t="inlineStr"/>
      <c r="L20" s="15" t="inlineStr"/>
      <c r="M20" s="16" t="inlineStr"/>
      <c r="N20" s="16" t="inlineStr"/>
    </row>
    <row r="21">
      <c r="A21" s="7" t="inlineStr">
        <is>
          <t>10.39</t>
        </is>
      </c>
      <c r="B21" s="7" t="inlineStr">
        <is>
          <t>NRA-04.1</t>
        </is>
      </c>
      <c r="C21" s="7" t="inlineStr"/>
      <c r="D21" s="7" t="inlineStr"/>
      <c r="E21" s="7" t="inlineStr">
        <is>
          <t>Comprehensive monitoring</t>
        </is>
      </c>
      <c r="F21" s="7" t="inlineStr">
        <is>
          <t>1. Obtain monitoring tool inventory.
2. Verify all critical devices/links monitored.
3. Check parameter coverage (availability, performance, errors).
4. Confirm 24/7 alerting to NOC.</t>
        </is>
      </c>
      <c r="G21" s="7" t="inlineStr">
        <is>
          <t>Monitoring tool inventory; Device coverage report; Parameter coverage matrix; NOC alerting config</t>
        </is>
      </c>
      <c r="H21" s="7" t="inlineStr">
        <is>
          <t>Inspection</t>
        </is>
      </c>
      <c r="I21" s="7" t="inlineStr"/>
      <c r="J21" s="7" t="inlineStr"/>
      <c r="K21" s="7" t="inlineStr"/>
      <c r="L21" s="7" t="inlineStr"/>
      <c r="M21" s="7" t="inlineStr"/>
      <c r="N21" s="7" t="inlineStr"/>
    </row>
    <row r="22">
      <c r="A22" s="7" t="inlineStr">
        <is>
          <t>10.39</t>
        </is>
      </c>
      <c r="B22" s="7" t="inlineStr">
        <is>
          <t>NRA-04.2</t>
        </is>
      </c>
      <c r="C22" s="7" t="inlineStr"/>
      <c r="D22" s="7" t="inlineStr"/>
      <c r="E22" s="7" t="inlineStr">
        <is>
          <t>Traffic analysis and anomaly detection</t>
        </is>
      </c>
      <c r="F22" s="7" t="inlineStr">
        <is>
          <t>1. Confirm flow analysis tools deployed.
2. Review traffic baselines and anomaly thresholds.
3. Sample 5 anomaly alerts — verify investigation.
4. Verify SIEM/SOC integration.</t>
        </is>
      </c>
      <c r="G22" s="7" t="inlineStr">
        <is>
          <t>Flow analysis config; Traffic baselines; Sample anomaly investigation; SIEM integration</t>
        </is>
      </c>
      <c r="H22" s="7" t="inlineStr">
        <is>
          <t>Inspection</t>
        </is>
      </c>
      <c r="I22" s="7" t="inlineStr"/>
      <c r="J22" s="7" t="inlineStr"/>
      <c r="K22" s="7" t="inlineStr"/>
      <c r="L22" s="7" t="inlineStr"/>
      <c r="M22" s="7" t="inlineStr"/>
      <c r="N22" s="7" t="inlineStr"/>
    </row>
    <row r="23">
      <c r="A23" s="7" t="inlineStr"/>
      <c r="B23" s="7" t="inlineStr">
        <is>
          <t>NRA-04.3</t>
        </is>
      </c>
      <c r="C23" s="7" t="inlineStr"/>
      <c r="D23" s="7" t="inlineStr"/>
      <c r="E23" s="7" t="inlineStr">
        <is>
          <t>Performance trend analysis</t>
        </is>
      </c>
      <c r="F23" s="7" t="inlineStr">
        <is>
          <t>1. Obtain regular performance reports.
2. Verify trend analysis (utilisation, latency, availability).
3. Check trends inform capacity planning.
4. Confirm management review.</t>
        </is>
      </c>
      <c r="G23" s="7" t="inlineStr">
        <is>
          <t>Performance reports; Trend analysis dashboards; Management review records</t>
        </is>
      </c>
      <c r="H23" s="7" t="inlineStr">
        <is>
          <t>Inspection</t>
        </is>
      </c>
      <c r="I23" s="7" t="inlineStr"/>
      <c r="J23" s="7" t="inlineStr"/>
      <c r="K23" s="7" t="inlineStr"/>
      <c r="L23" s="7" t="inlineStr"/>
      <c r="M23" s="7" t="inlineStr"/>
      <c r="N23" s="7" t="inlineStr"/>
    </row>
    <row r="24">
      <c r="A24" s="11" t="inlineStr">
        <is>
          <t>Domain 5 — Confidentiality, Integrity, Availability (10.40)</t>
        </is>
      </c>
      <c r="B24" s="12" t="n"/>
      <c r="C24" s="12" t="n"/>
      <c r="D24" s="12" t="n"/>
      <c r="E24" s="12" t="n"/>
      <c r="F24" s="12" t="n"/>
      <c r="G24" s="12" t="n"/>
      <c r="H24" s="12" t="n"/>
      <c r="I24" s="12" t="n"/>
      <c r="J24" s="12" t="n"/>
      <c r="K24" s="12" t="n"/>
      <c r="L24" s="12" t="n"/>
      <c r="M24" s="12" t="n"/>
      <c r="N24" s="12" t="n"/>
    </row>
    <row r="25">
      <c r="A25" s="13" t="inlineStr">
        <is>
          <t>Network CIA requires layered controls. Expect encryption, NAC, device hardening, configuration integrity monitoring. Network compromise provides access to all connected systems.</t>
        </is>
      </c>
      <c r="B25" s="14" t="n"/>
      <c r="C25" s="14" t="n"/>
      <c r="D25" s="14" t="n"/>
      <c r="E25" s="14" t="n"/>
      <c r="F25" s="14" t="n"/>
      <c r="G25" s="14" t="n"/>
      <c r="H25" s="14" t="n"/>
      <c r="I25" s="14" t="n"/>
      <c r="J25" s="14" t="n"/>
      <c r="K25" s="14" t="n"/>
      <c r="L25" s="14" t="n"/>
      <c r="M25" s="14" t="n"/>
      <c r="N25" s="14" t="n"/>
    </row>
    <row r="26">
      <c r="A26" s="15" t="inlineStr">
        <is>
          <t>10.40</t>
        </is>
      </c>
      <c r="B26" s="15" t="inlineStr">
        <is>
          <t>NRA-05</t>
        </is>
      </c>
      <c r="C26" s="15" t="inlineStr">
        <is>
          <t>PLATFORM</t>
        </is>
      </c>
      <c r="D26" s="15" t="inlineStr">
        <is>
          <t>Confidentiality/Integrity/Availability</t>
        </is>
      </c>
      <c r="E26" s="15" t="inlineStr">
        <is>
          <t>Encryption in transit, access controls, device hardening, and configuration integrity</t>
        </is>
      </c>
      <c r="F26" s="15" t="inlineStr"/>
      <c r="G26" s="15" t="inlineStr"/>
      <c r="H26" s="15" t="inlineStr"/>
      <c r="I26" s="15" t="inlineStr"/>
      <c r="J26" s="15" t="inlineStr"/>
      <c r="K26" s="15" t="inlineStr"/>
      <c r="L26" s="15" t="inlineStr"/>
      <c r="M26" s="16" t="inlineStr"/>
      <c r="N26" s="16" t="inlineStr"/>
    </row>
    <row r="27">
      <c r="A27" s="7" t="inlineStr">
        <is>
          <t>10.40</t>
        </is>
      </c>
      <c r="B27" s="7" t="inlineStr">
        <is>
          <t>NRA-05.1</t>
        </is>
      </c>
      <c r="C27" s="7" t="inlineStr"/>
      <c r="D27" s="7" t="inlineStr"/>
      <c r="E27" s="7" t="inlineStr">
        <is>
          <t>Encryption in transit</t>
        </is>
      </c>
      <c r="F27" s="7" t="inlineStr">
        <is>
          <t>1. Identify links over untrusted networks.
2. Verify encryption (IPSec, TLS, MACsec).
3. Check standards (TLS 1.2+, AES-256).
4. Verify certificate management.</t>
        </is>
      </c>
      <c r="G27" s="7" t="inlineStr">
        <is>
          <t>Encryption standards policy; VPN/TLS config; Certificate inventory</t>
        </is>
      </c>
      <c r="H27" s="7" t="inlineStr">
        <is>
          <t>Inspection</t>
        </is>
      </c>
      <c r="I27" s="7" t="inlineStr"/>
      <c r="J27" s="7" t="inlineStr"/>
      <c r="K27" s="7" t="inlineStr"/>
      <c r="L27" s="7" t="inlineStr"/>
      <c r="M27" s="7" t="inlineStr"/>
      <c r="N27" s="7" t="inlineStr"/>
    </row>
    <row r="28">
      <c r="A28" s="7" t="inlineStr">
        <is>
          <t>10.40</t>
        </is>
      </c>
      <c r="B28" s="7" t="inlineStr">
        <is>
          <t>NRA-05.2</t>
        </is>
      </c>
      <c r="C28" s="7" t="inlineStr"/>
      <c r="D28" s="7" t="inlineStr"/>
      <c r="E28" s="7" t="inlineStr">
        <is>
          <t>Access controls and authentication</t>
        </is>
      </c>
      <c r="F28" s="7" t="inlineStr">
        <is>
          <t>1. Review NAC mechanisms (802.1X).
2. Verify management access uses RADIUS/TACACS+ with MFA.
3. Check default credentials changed.
4. Verify unused ports disabled.
5. Sample 10 device configs.</t>
        </is>
      </c>
      <c r="G28" s="7" t="inlineStr">
        <is>
          <t>NAC config; RADIUS/TACACS+ config; Sample device configs; Port status reports</t>
        </is>
      </c>
      <c r="H28" s="7" t="inlineStr">
        <is>
          <t>Inspection</t>
        </is>
      </c>
      <c r="I28" s="7" t="inlineStr"/>
      <c r="J28" s="7" t="inlineStr"/>
      <c r="K28" s="7" t="inlineStr"/>
      <c r="L28" s="7" t="inlineStr"/>
      <c r="M28" s="7" t="inlineStr"/>
      <c r="N28" s="7" t="inlineStr"/>
    </row>
    <row r="29">
      <c r="A29" s="7" t="inlineStr">
        <is>
          <t>10.40</t>
        </is>
      </c>
      <c r="B29" s="7" t="inlineStr">
        <is>
          <t>NRA-05.3</t>
        </is>
      </c>
      <c r="C29" s="7" t="inlineStr"/>
      <c r="D29" s="7" t="inlineStr"/>
      <c r="E29" s="7" t="inlineStr">
        <is>
          <t>Configuration integrity</t>
        </is>
      </c>
      <c r="F29" s="7" t="inlineStr">
        <is>
          <t>1. Verify daily config backups.
2. Check drift detection and alerting.
3. Confirm baseline configs exist per device type.
4. Verify secure backup storage.</t>
        </is>
      </c>
      <c r="G29" s="7" t="inlineStr">
        <is>
          <t>Config backup schedule; Drift monitoring tool; Baseline config library; Backup storage</t>
        </is>
      </c>
      <c r="H29" s="7" t="inlineStr">
        <is>
          <t>Inspection</t>
        </is>
      </c>
      <c r="I29" s="7" t="inlineStr"/>
      <c r="J29" s="7" t="inlineStr"/>
      <c r="K29" s="7" t="inlineStr"/>
      <c r="L29" s="7" t="inlineStr"/>
      <c r="M29" s="7" t="inlineStr"/>
      <c r="N29" s="7" t="inlineStr"/>
    </row>
    <row r="30">
      <c r="A30" s="11" t="inlineStr">
        <is>
          <t>Domain 6 — Network Blueprint (10.41)</t>
        </is>
      </c>
      <c r="B30" s="12" t="n"/>
      <c r="C30" s="12" t="n"/>
      <c r="D30" s="12" t="n"/>
      <c r="E30" s="12" t="n"/>
      <c r="F30" s="12" t="n"/>
      <c r="G30" s="12" t="n"/>
      <c r="H30" s="12" t="n"/>
      <c r="I30" s="12" t="n"/>
      <c r="J30" s="12" t="n"/>
      <c r="K30" s="12" t="n"/>
      <c r="L30" s="12" t="n"/>
      <c r="M30" s="12" t="n"/>
      <c r="N30" s="12" t="n"/>
    </row>
    <row r="31">
      <c r="A31" s="13" t="inlineStr">
        <is>
          <t>A current network blueprint is essential for security and change management. Expect a comprehensive, version-controlled, approved blueprint. Stale blueprints lead to security gaps.</t>
        </is>
      </c>
      <c r="B31" s="14" t="n"/>
      <c r="C31" s="14" t="n"/>
      <c r="D31" s="14" t="n"/>
      <c r="E31" s="14" t="n"/>
      <c r="F31" s="14" t="n"/>
      <c r="G31" s="14" t="n"/>
      <c r="H31" s="14" t="n"/>
      <c r="I31" s="14" t="n"/>
      <c r="J31" s="14" t="n"/>
      <c r="K31" s="14" t="n"/>
      <c r="L31" s="14" t="n"/>
      <c r="M31" s="14" t="n"/>
      <c r="N31" s="14" t="n"/>
    </row>
    <row r="32">
      <c r="A32" s="15" t="inlineStr">
        <is>
          <t>10.41</t>
        </is>
      </c>
      <c r="B32" s="15" t="inlineStr">
        <is>
          <t>NRA-06</t>
        </is>
      </c>
      <c r="C32" s="15" t="inlineStr">
        <is>
          <t>ORG</t>
        </is>
      </c>
      <c r="D32" s="15" t="inlineStr">
        <is>
          <t>Network Blueprint</t>
        </is>
      </c>
      <c r="E32" s="15" t="inlineStr">
        <is>
          <t>Comprehensive, version-controlled, and approved network design documentation</t>
        </is>
      </c>
      <c r="F32" s="15" t="inlineStr"/>
      <c r="G32" s="15" t="inlineStr"/>
      <c r="H32" s="15" t="inlineStr"/>
      <c r="I32" s="15" t="inlineStr"/>
      <c r="J32" s="15" t="inlineStr"/>
      <c r="K32" s="15" t="inlineStr"/>
      <c r="L32" s="15" t="inlineStr"/>
      <c r="M32" s="16" t="inlineStr"/>
      <c r="N32" s="16" t="inlineStr"/>
    </row>
    <row r="33">
      <c r="A33" s="7" t="inlineStr">
        <is>
          <t>10.41</t>
        </is>
      </c>
      <c r="B33" s="7" t="inlineStr">
        <is>
          <t>NRA-06.1</t>
        </is>
      </c>
      <c r="C33" s="7" t="inlineStr"/>
      <c r="D33" s="7" t="inlineStr"/>
      <c r="E33" s="7" t="inlineStr">
        <is>
          <t>Current blueprint</t>
        </is>
      </c>
      <c r="F33" s="7" t="inlineStr">
        <is>
          <t>1. Obtain network design blueprint.
2. Verify it covers: logical/physical topology, IP addressing, VLAN design, routing, security zones, external connectivity.
3. Check it reflects current state.
4. Verify version-controlled.</t>
        </is>
      </c>
      <c r="G33" s="7" t="inlineStr">
        <is>
          <t>Network design blueprint; Version history; Change control records</t>
        </is>
      </c>
      <c r="H33" s="7" t="inlineStr">
        <is>
          <t>Inspection</t>
        </is>
      </c>
      <c r="I33" s="7" t="inlineStr"/>
      <c r="J33" s="7" t="inlineStr"/>
      <c r="K33" s="7" t="inlineStr"/>
      <c r="L33" s="7" t="inlineStr"/>
      <c r="M33" s="7" t="inlineStr"/>
      <c r="N33" s="7" t="inlineStr"/>
    </row>
    <row r="34">
      <c r="A34" s="7" t="inlineStr">
        <is>
          <t>10.41</t>
        </is>
      </c>
      <c r="B34" s="7" t="inlineStr">
        <is>
          <t>NRA-06.2</t>
        </is>
      </c>
      <c r="C34" s="7" t="inlineStr"/>
      <c r="D34" s="7" t="inlineStr"/>
      <c r="E34" s="7" t="inlineStr">
        <is>
          <t>Review and approval</t>
        </is>
      </c>
      <c r="F34" s="7" t="inlineStr">
        <is>
          <t>1. Check blueprint approved by appropriate authority.
2. Verify reviewed at least annually.
3. Confirm accessible to relevant teams.</t>
        </is>
      </c>
      <c r="G34" s="7" t="inlineStr">
        <is>
          <t>Approval records; Review schedule; Access/distribution records</t>
        </is>
      </c>
      <c r="H34" s="7" t="inlineStr">
        <is>
          <t>Inspection</t>
        </is>
      </c>
      <c r="I34" s="7" t="inlineStr"/>
      <c r="J34" s="7" t="inlineStr"/>
      <c r="K34" s="7" t="inlineStr"/>
      <c r="L34" s="7" t="inlineStr"/>
      <c r="M34" s="7" t="inlineStr"/>
      <c r="N34" s="7" t="inlineStr"/>
    </row>
    <row r="35">
      <c r="A35" s="11" t="inlineStr">
        <is>
          <t>Domain 7 — Network Logging (10.42)</t>
        </is>
      </c>
      <c r="B35" s="12" t="n"/>
      <c r="C35" s="12" t="n"/>
      <c r="D35" s="12" t="n"/>
      <c r="E35" s="12" t="n"/>
      <c r="F35" s="12" t="n"/>
      <c r="G35" s="12" t="n"/>
      <c r="H35" s="12" t="n"/>
      <c r="I35" s="12" t="n"/>
      <c r="J35" s="12" t="n"/>
      <c r="K35" s="12" t="n"/>
      <c r="L35" s="12" t="n"/>
      <c r="M35" s="12" t="n"/>
      <c r="N35" s="12" t="n"/>
    </row>
    <row r="36">
      <c r="A36" s="13" t="inlineStr">
        <is>
          <t>Network device logging supports incident investigation and compliance. Expect centralised, tamper-protected, time-synchronised logs with defined retention. Without logs, incidents cannot be investigated.</t>
        </is>
      </c>
      <c r="B36" s="14" t="n"/>
      <c r="C36" s="14" t="n"/>
      <c r="D36" s="14" t="n"/>
      <c r="E36" s="14" t="n"/>
      <c r="F36" s="14" t="n"/>
      <c r="G36" s="14" t="n"/>
      <c r="H36" s="14" t="n"/>
      <c r="I36" s="14" t="n"/>
      <c r="J36" s="14" t="n"/>
      <c r="K36" s="14" t="n"/>
      <c r="L36" s="14" t="n"/>
      <c r="M36" s="14" t="n"/>
      <c r="N36" s="14" t="n"/>
    </row>
    <row r="37">
      <c r="A37" s="15" t="inlineStr">
        <is>
          <t>10.42</t>
        </is>
      </c>
      <c r="B37" s="15" t="inlineStr">
        <is>
          <t>NRA-07</t>
        </is>
      </c>
      <c r="C37" s="15" t="inlineStr">
        <is>
          <t>PLATFORM</t>
        </is>
      </c>
      <c r="D37" s="15" t="inlineStr">
        <is>
          <t>Network Logging</t>
        </is>
      </c>
      <c r="E37" s="15" t="inlineStr">
        <is>
          <t>Comprehensive logging, centralised management, retention, and tamper protection</t>
        </is>
      </c>
      <c r="F37" s="15" t="inlineStr"/>
      <c r="G37" s="15" t="inlineStr"/>
      <c r="H37" s="15" t="inlineStr"/>
      <c r="I37" s="15" t="inlineStr"/>
      <c r="J37" s="15" t="inlineStr"/>
      <c r="K37" s="15" t="inlineStr"/>
      <c r="L37" s="15" t="inlineStr"/>
      <c r="M37" s="16" t="inlineStr"/>
      <c r="N37" s="16" t="inlineStr"/>
    </row>
    <row r="38">
      <c r="A38" s="7" t="inlineStr">
        <is>
          <t>10.42</t>
        </is>
      </c>
      <c r="B38" s="7" t="inlineStr">
        <is>
          <t>NRA-07.1</t>
        </is>
      </c>
      <c r="C38" s="7" t="inlineStr"/>
      <c r="D38" s="7" t="inlineStr"/>
      <c r="E38" s="7" t="inlineStr">
        <is>
          <t>Comprehensive logging</t>
        </is>
      </c>
      <c r="F38" s="7" t="inlineStr">
        <is>
          <t>1. Review logging config on 10 sample devices.
2. Verify security events logged (auth, config changes, ACL, admin actions).
3. Confirm centralised log management.
4. Verify NTP synchronisation.</t>
        </is>
      </c>
      <c r="G38" s="7" t="inlineStr">
        <is>
          <t>Sample device logging configs; Centralised log system; NTP config</t>
        </is>
      </c>
      <c r="H38" s="7" t="inlineStr">
        <is>
          <t>Inspection</t>
        </is>
      </c>
      <c r="I38" s="7" t="inlineStr"/>
      <c r="J38" s="7" t="inlineStr"/>
      <c r="K38" s="7" t="inlineStr"/>
      <c r="L38" s="7" t="inlineStr"/>
      <c r="M38" s="7" t="inlineStr"/>
      <c r="N38" s="7" t="inlineStr"/>
    </row>
    <row r="39">
      <c r="A39" s="7" t="inlineStr">
        <is>
          <t>10.42</t>
        </is>
      </c>
      <c r="B39" s="7" t="inlineStr">
        <is>
          <t>NRA-07.2</t>
        </is>
      </c>
      <c r="C39" s="7" t="inlineStr"/>
      <c r="D39" s="7" t="inlineStr"/>
      <c r="E39" s="7" t="inlineStr">
        <is>
          <t>Log retention and review</t>
        </is>
      </c>
      <c r="F39" s="7" t="inlineStr">
        <is>
          <t>1. Check retention against policy (min 12 months online).
2. Verify tamper protection.
3. Confirm logs reviewed through SIEM or manual process.
4. Sample 5 events and trace to response.</t>
        </is>
      </c>
      <c r="G39" s="7" t="inlineStr">
        <is>
          <t>Log retention policy; Log protection mechanisms; SIEM rules; Sample event investigation records</t>
        </is>
      </c>
      <c r="H39" s="7" t="inlineStr">
        <is>
          <t>Inspection</t>
        </is>
      </c>
      <c r="I39" s="7" t="inlineStr"/>
      <c r="J39" s="7" t="inlineStr"/>
      <c r="K39" s="7" t="inlineStr"/>
      <c r="L39" s="7" t="inlineStr"/>
      <c r="M39" s="7" t="inlineStr"/>
      <c r="N39" s="7" t="inlineStr"/>
    </row>
    <row r="40">
      <c r="A40" s="11" t="inlineStr">
        <is>
          <t>Domain 8 — Network Segmentation (10.43)</t>
        </is>
      </c>
      <c r="B40" s="12" t="n"/>
      <c r="C40" s="12" t="n"/>
      <c r="D40" s="12" t="n"/>
      <c r="E40" s="12" t="n"/>
      <c r="F40" s="12" t="n"/>
      <c r="G40" s="12" t="n"/>
      <c r="H40" s="12" t="n"/>
      <c r="I40" s="12" t="n"/>
      <c r="J40" s="12" t="n"/>
      <c r="K40" s="12" t="n"/>
      <c r="L40" s="12" t="n"/>
      <c r="M40" s="12" t="n"/>
      <c r="N40" s="12" t="n"/>
    </row>
    <row r="41">
      <c r="A41" s="13" t="inlineStr">
        <is>
          <t>Network segmentation limits blast radius and lateral movement. Expect zone-based segmentation, micro-segmentation for critical assets, wireless isolation. Flat networks allow unrestricted lateral movement.</t>
        </is>
      </c>
      <c r="B41" s="14" t="n"/>
      <c r="C41" s="14" t="n"/>
      <c r="D41" s="14" t="n"/>
      <c r="E41" s="14" t="n"/>
      <c r="F41" s="14" t="n"/>
      <c r="G41" s="14" t="n"/>
      <c r="H41" s="14" t="n"/>
      <c r="I41" s="14" t="n"/>
      <c r="J41" s="14" t="n"/>
      <c r="K41" s="14" t="n"/>
      <c r="L41" s="14" t="n"/>
      <c r="M41" s="14" t="n"/>
      <c r="N41" s="14" t="n"/>
    </row>
    <row r="42">
      <c r="A42" s="15" t="inlineStr">
        <is>
          <t>10.43</t>
        </is>
      </c>
      <c r="B42" s="15" t="inlineStr">
        <is>
          <t>NRA-08</t>
        </is>
      </c>
      <c r="C42" s="15" t="inlineStr">
        <is>
          <t>PLATFORM</t>
        </is>
      </c>
      <c r="D42" s="15" t="inlineStr">
        <is>
          <t>Network Segmentation</t>
        </is>
      </c>
      <c r="E42" s="15" t="inlineStr">
        <is>
          <t>Zone-based segmentation, micro-segmentation, and wireless network security</t>
        </is>
      </c>
      <c r="F42" s="15" t="inlineStr"/>
      <c r="G42" s="15" t="inlineStr"/>
      <c r="H42" s="15" t="inlineStr"/>
      <c r="I42" s="15" t="inlineStr"/>
      <c r="J42" s="15" t="inlineStr"/>
      <c r="K42" s="15" t="inlineStr"/>
      <c r="L42" s="15" t="inlineStr"/>
      <c r="M42" s="16" t="inlineStr"/>
      <c r="N42" s="16" t="inlineStr"/>
    </row>
    <row r="43">
      <c r="A43" s="7" t="inlineStr">
        <is>
          <t>10.43</t>
        </is>
      </c>
      <c r="B43" s="7" t="inlineStr">
        <is>
          <t>NRA-08.1</t>
        </is>
      </c>
      <c r="C43" s="7" t="inlineStr"/>
      <c r="D43" s="7" t="inlineStr"/>
      <c r="E43" s="7" t="inlineStr">
        <is>
          <t>Segmentation strategy</t>
        </is>
      </c>
      <c r="F43" s="7" t="inlineStr">
        <is>
          <t>1. Obtain segmentation policy and design.
2. Verify: prod vs non-prod, internal vs DMZ, PCI zones, guest/IoT.
3. Review firewall/ACL rules.
4. Conduct sample traffic flow tests.</t>
        </is>
      </c>
      <c r="G43" s="7" t="inlineStr">
        <is>
          <t>Segmentation policy; Firewall/ACL rule sets; Traffic flow test results</t>
        </is>
      </c>
      <c r="H43" s="7" t="inlineStr">
        <is>
          <t>Inspection</t>
        </is>
      </c>
      <c r="I43" s="7" t="inlineStr"/>
      <c r="J43" s="7" t="inlineStr"/>
      <c r="K43" s="7" t="inlineStr"/>
      <c r="L43" s="7" t="inlineStr"/>
      <c r="M43" s="7" t="inlineStr"/>
      <c r="N43" s="7" t="inlineStr"/>
    </row>
    <row r="44">
      <c r="A44" s="7" t="inlineStr">
        <is>
          <t>10.43</t>
        </is>
      </c>
      <c r="B44" s="7" t="inlineStr">
        <is>
          <t>NRA-08.2</t>
        </is>
      </c>
      <c r="C44" s="7" t="inlineStr"/>
      <c r="D44" s="7" t="inlineStr"/>
      <c r="E44" s="7" t="inlineStr">
        <is>
          <t>Micro-segmentation for critical assets</t>
        </is>
      </c>
      <c r="F44" s="7" t="inlineStr">
        <is>
          <t>1. Identify most critical segments.
2. Verify additional controls beyond standard segmentation.
3. Check application-layer segmentation.
4. Verify explicit authorisation required.</t>
        </is>
      </c>
      <c r="G44" s="7" t="inlineStr">
        <is>
          <t>Critical segment identification; Additional segmentation controls; Access authorisation records</t>
        </is>
      </c>
      <c r="H44" s="7" t="inlineStr">
        <is>
          <t>Inspection</t>
        </is>
      </c>
      <c r="I44" s="7" t="inlineStr"/>
      <c r="J44" s="7" t="inlineStr"/>
      <c r="K44" s="7" t="inlineStr"/>
      <c r="L44" s="7" t="inlineStr"/>
      <c r="M44" s="7" t="inlineStr"/>
      <c r="N44" s="7" t="inlineStr"/>
    </row>
    <row r="45">
      <c r="A45" s="7" t="inlineStr"/>
      <c r="B45" s="7" t="inlineStr">
        <is>
          <t>NRA-08.3</t>
        </is>
      </c>
      <c r="C45" s="7" t="inlineStr"/>
      <c r="D45" s="7" t="inlineStr"/>
      <c r="E45" s="7" t="inlineStr">
        <is>
          <t>Wireless network security</t>
        </is>
      </c>
      <c r="F45" s="7" t="inlineStr">
        <is>
          <t>1. Identify all wireless networks.
2. Verify segmentation from wired corporate.
3. Check WPA3-Enterprise or WPA2-Enterprise minimum.
4. Verify rogue AP detection.
5. Review wireless security assessment.</t>
        </is>
      </c>
      <c r="G45" s="7" t="inlineStr">
        <is>
          <t>Wireless inventory; Segmentation design; Auth config; Rogue AP detection; Wireless security reports</t>
        </is>
      </c>
      <c r="H45" s="7" t="inlineStr">
        <is>
          <t>Inspection</t>
        </is>
      </c>
      <c r="I45" s="7" t="inlineStr"/>
      <c r="J45" s="7" t="inlineStr"/>
      <c r="K45" s="7" t="inlineStr"/>
      <c r="L45" s="7" t="inlineStr"/>
      <c r="M45" s="7" t="inlineStr"/>
      <c r="N45" s="7" t="inlineStr"/>
    </row>
  </sheetData>
  <mergeCells count="16">
    <mergeCell ref="A40:N40"/>
    <mergeCell ref="A9:N9"/>
    <mergeCell ref="A18:N18"/>
    <mergeCell ref="A8:N8"/>
    <mergeCell ref="A3:N3"/>
    <mergeCell ref="A31:N31"/>
    <mergeCell ref="A35:N35"/>
    <mergeCell ref="A24:N24"/>
    <mergeCell ref="A2:N2"/>
    <mergeCell ref="A30:N30"/>
    <mergeCell ref="A36:N36"/>
    <mergeCell ref="A25:N25"/>
    <mergeCell ref="A41:N41"/>
    <mergeCell ref="A19:N19"/>
    <mergeCell ref="A13:N13"/>
    <mergeCell ref="A14:N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0" t="inlineStr">
        <is>
          <t>BNM Ref</t>
        </is>
      </c>
      <c r="B1" s="10" t="inlineStr">
        <is>
          <t>Ref</t>
        </is>
      </c>
      <c r="C1" s="10" t="inlineStr">
        <is>
          <t>Level</t>
        </is>
      </c>
      <c r="D1" s="10" t="inlineStr">
        <is>
          <t>Control Domain</t>
        </is>
      </c>
      <c r="E1" s="10" t="inlineStr">
        <is>
          <t>Sub-Procedure</t>
        </is>
      </c>
      <c r="F1" s="10" t="inlineStr">
        <is>
          <t>Assessment Procedures</t>
        </is>
      </c>
      <c r="G1" s="10" t="inlineStr">
        <is>
          <t>Expected Evidence</t>
        </is>
      </c>
      <c r="H1" s="10" t="inlineStr">
        <is>
          <t>Method</t>
        </is>
      </c>
      <c r="I1" s="10" t="inlineStr">
        <is>
          <t>Procedures Performed</t>
        </is>
      </c>
      <c r="J1" s="10" t="inlineStr">
        <is>
          <t>Evidence Obtained</t>
        </is>
      </c>
      <c r="K1" s="10" t="inlineStr">
        <is>
          <t>Evidence Ref</t>
        </is>
      </c>
      <c r="L1" s="10" t="inlineStr">
        <is>
          <t>Observations</t>
        </is>
      </c>
      <c r="M1" s="10" t="inlineStr">
        <is>
          <t>Conclusion</t>
        </is>
      </c>
      <c r="N1" s="10" t="inlineStr">
        <is>
          <t>Recommendations</t>
        </is>
      </c>
    </row>
    <row r="2">
      <c r="A2" s="11" t="inlineStr">
        <is>
          <t>Item 1(a) — Access Control</t>
        </is>
      </c>
      <c r="B2" s="12" t="n"/>
      <c r="C2" s="12" t="n"/>
      <c r="D2" s="12" t="n"/>
      <c r="E2" s="12" t="n"/>
      <c r="F2" s="12" t="n"/>
      <c r="G2" s="12" t="n"/>
      <c r="H2" s="12" t="n"/>
      <c r="I2" s="12" t="n"/>
      <c r="J2" s="12" t="n"/>
      <c r="K2" s="12" t="n"/>
      <c r="L2" s="12" t="n"/>
      <c r="M2" s="12" t="n"/>
      <c r="N2" s="12" t="n"/>
    </row>
    <row r="3">
      <c r="A3" s="13" t="inlineStr">
        <is>
          <t>Access control is foundational — who can access what. Expect policy-driven provisioning, periodic reviews, PAM controls, timely revocation. Excessive access is the most common audit finding.</t>
        </is>
      </c>
      <c r="B3" s="14" t="n"/>
      <c r="C3" s="14" t="n"/>
      <c r="D3" s="14" t="n"/>
      <c r="E3" s="14" t="n"/>
      <c r="F3" s="14" t="n"/>
      <c r="G3" s="14" t="n"/>
      <c r="H3" s="14" t="n"/>
      <c r="I3" s="14" t="n"/>
      <c r="J3" s="14" t="n"/>
      <c r="K3" s="14" t="n"/>
      <c r="L3" s="14" t="n"/>
      <c r="M3" s="14" t="n"/>
      <c r="N3" s="14" t="n"/>
    </row>
    <row r="4">
      <c r="A4" s="15" t="inlineStr">
        <is>
          <t>App7-D1(a)</t>
        </is>
      </c>
      <c r="B4" s="15" t="inlineStr">
        <is>
          <t>PD-01</t>
        </is>
      </c>
      <c r="C4" s="15" t="inlineStr">
        <is>
          <t>ORG</t>
        </is>
      </c>
      <c r="D4" s="15" t="inlineStr">
        <is>
          <t>Access Control</t>
        </is>
      </c>
      <c r="E4" s="15" t="inlineStr">
        <is>
          <t>Access control policies, provisioning, privileged access, and periodic review</t>
        </is>
      </c>
      <c r="F4" s="15" t="inlineStr"/>
      <c r="G4" s="15" t="inlineStr"/>
      <c r="H4" s="15" t="inlineStr"/>
      <c r="I4" s="15" t="inlineStr"/>
      <c r="J4" s="15" t="inlineStr"/>
      <c r="K4" s="15" t="inlineStr"/>
      <c r="L4" s="15" t="inlineStr"/>
      <c r="M4" s="16" t="inlineStr"/>
      <c r="N4" s="16" t="inlineStr"/>
    </row>
    <row r="5">
      <c r="A5" s="7" t="inlineStr">
        <is>
          <t>App7-D1(a)(i)</t>
        </is>
      </c>
      <c r="B5" s="7" t="inlineStr">
        <is>
          <t>PD-01.1</t>
        </is>
      </c>
      <c r="C5" s="7" t="inlineStr"/>
      <c r="D5" s="7" t="inlineStr"/>
      <c r="E5" s="7" t="inlineStr">
        <is>
          <t>Access control policies and mechanisms</t>
        </is>
      </c>
      <c r="F5"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G5" s="7" t="inlineStr">
        <is>
          <t>Access control policy; User access provisioning records; Access review reports; HR leaver/transfer list vs. access revocation logs</t>
        </is>
      </c>
      <c r="H5" s="7" t="inlineStr">
        <is>
          <t>Inspection</t>
        </is>
      </c>
      <c r="I5" s="7" t="inlineStr"/>
      <c r="J5" s="7" t="inlineStr"/>
      <c r="K5" s="7" t="inlineStr"/>
      <c r="L5" s="7" t="inlineStr"/>
      <c r="M5" s="7" t="inlineStr"/>
      <c r="N5" s="7" t="inlineStr"/>
    </row>
    <row r="6">
      <c r="A6" s="7" t="inlineStr">
        <is>
          <t>App7-D1(a)(ii)</t>
        </is>
      </c>
      <c r="B6" s="7" t="inlineStr">
        <is>
          <t>PD-01.2</t>
        </is>
      </c>
      <c r="C6" s="7" t="inlineStr"/>
      <c r="D6" s="7" t="inlineStr"/>
      <c r="E6" s="7" t="inlineStr">
        <is>
          <t>Privileged access management</t>
        </is>
      </c>
      <c r="F6"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G6" s="7" t="inlineStr">
        <is>
          <t>PAM policy; Privileged account inventory; PAM tool configuration and logs; Session recording samples</t>
        </is>
      </c>
      <c r="H6" s="7" t="inlineStr">
        <is>
          <t>Inspection</t>
        </is>
      </c>
      <c r="I6" s="7" t="inlineStr"/>
      <c r="J6" s="7" t="inlineStr"/>
      <c r="K6" s="7" t="inlineStr"/>
      <c r="L6" s="7" t="inlineStr"/>
      <c r="M6" s="7" t="inlineStr"/>
      <c r="N6" s="7" t="inlineStr"/>
    </row>
    <row r="7">
      <c r="A7" s="11" t="inlineStr">
        <is>
          <t>Item 1(b) — Physical and Environmental Security</t>
        </is>
      </c>
      <c r="B7" s="12" t="n"/>
      <c r="C7" s="12" t="n"/>
      <c r="D7" s="12" t="n"/>
      <c r="E7" s="12" t="n"/>
      <c r="F7" s="12" t="n"/>
      <c r="G7" s="12" t="n"/>
      <c r="H7" s="12" t="n"/>
      <c r="I7" s="12" t="n"/>
      <c r="J7" s="12" t="n"/>
      <c r="K7" s="12" t="n"/>
      <c r="L7" s="12" t="n"/>
      <c r="M7" s="12" t="n"/>
      <c r="N7" s="12" t="n"/>
    </row>
    <row r="8">
      <c r="A8" s="13" t="inlineStr">
        <is>
          <t>Physical controls protect technology assets from unauthorised access and environmental threats. Expect multi-layered access, CCTV, environmental monitoring. Physical compromise bypasses logical controls.</t>
        </is>
      </c>
      <c r="B8" s="14" t="n"/>
      <c r="C8" s="14" t="n"/>
      <c r="D8" s="14" t="n"/>
      <c r="E8" s="14" t="n"/>
      <c r="F8" s="14" t="n"/>
      <c r="G8" s="14" t="n"/>
      <c r="H8" s="14" t="n"/>
      <c r="I8" s="14" t="n"/>
      <c r="J8" s="14" t="n"/>
      <c r="K8" s="14" t="n"/>
      <c r="L8" s="14" t="n"/>
      <c r="M8" s="14" t="n"/>
      <c r="N8" s="14" t="n"/>
    </row>
    <row r="9">
      <c r="A9" s="15" t="inlineStr">
        <is>
          <t>App7-D1(b)</t>
        </is>
      </c>
      <c r="B9" s="15" t="inlineStr">
        <is>
          <t>PD-02</t>
        </is>
      </c>
      <c r="C9" s="15" t="inlineStr">
        <is>
          <t>ORG</t>
        </is>
      </c>
      <c r="D9" s="15" t="inlineStr">
        <is>
          <t>Physical Security</t>
        </is>
      </c>
      <c r="E9" s="15" t="inlineStr">
        <is>
          <t>Physical access controls and environmental protection for technology assets</t>
        </is>
      </c>
      <c r="F9" s="15" t="inlineStr"/>
      <c r="G9" s="15" t="inlineStr"/>
      <c r="H9" s="15" t="inlineStr"/>
      <c r="I9" s="15" t="inlineStr"/>
      <c r="J9" s="15" t="inlineStr"/>
      <c r="K9" s="15" t="inlineStr"/>
      <c r="L9" s="15" t="inlineStr"/>
      <c r="M9" s="16" t="inlineStr"/>
      <c r="N9" s="16" t="inlineStr"/>
    </row>
    <row r="10">
      <c r="A10" s="7" t="inlineStr">
        <is>
          <t>App7-D1(b)(i)</t>
        </is>
      </c>
      <c r="B10" s="7" t="inlineStr">
        <is>
          <t>PD-02.1</t>
        </is>
      </c>
      <c r="C10" s="7" t="inlineStr"/>
      <c r="D10" s="7" t="inlineStr"/>
      <c r="E10" s="7" t="inlineStr">
        <is>
          <t>Physical security controls</t>
        </is>
      </c>
      <c r="F10"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G10" s="7" t="inlineStr">
        <is>
          <t>Physical security policy; Access control system config; Visitor logs; CCTV coverage map; Physical access log reconciliation</t>
        </is>
      </c>
      <c r="H10" s="7" t="inlineStr">
        <is>
          <t>Inspection / Observation</t>
        </is>
      </c>
      <c r="I10" s="7" t="inlineStr"/>
      <c r="J10" s="7" t="inlineStr"/>
      <c r="K10" s="7" t="inlineStr"/>
      <c r="L10" s="7" t="inlineStr"/>
      <c r="M10" s="7" t="inlineStr"/>
      <c r="N10" s="7" t="inlineStr"/>
    </row>
    <row r="11">
      <c r="A11" s="7" t="inlineStr">
        <is>
          <t>App7-D1(b)(ii)</t>
        </is>
      </c>
      <c r="B11" s="7" t="inlineStr">
        <is>
          <t>PD-02.2</t>
        </is>
      </c>
      <c r="C11" s="7" t="inlineStr"/>
      <c r="D11" s="7" t="inlineStr"/>
      <c r="E11" s="7" t="inlineStr">
        <is>
          <t>Environmental controls</t>
        </is>
      </c>
      <c r="F11" s="7" t="inlineStr">
        <is>
          <t>1. Verify fire detection and suppression systems are current on inspections.
2. Check water leak detection.
3. Verify temperature and humidity monitoring with alerts.
4. Confirm environmental incident response procedures are tested.</t>
        </is>
      </c>
      <c r="G11" s="7" t="inlineStr">
        <is>
          <t>Fire system inspection certificates; Water leak detection layout; Environmental monitoring dashboards; Incident response test records</t>
        </is>
      </c>
      <c r="H11" s="7" t="inlineStr">
        <is>
          <t>Inspection / Observation</t>
        </is>
      </c>
      <c r="I11" s="7" t="inlineStr"/>
      <c r="J11" s="7" t="inlineStr"/>
      <c r="K11" s="7" t="inlineStr"/>
      <c r="L11" s="7" t="inlineStr"/>
      <c r="M11" s="7" t="inlineStr"/>
      <c r="N11" s="7" t="inlineStr"/>
    </row>
    <row r="12">
      <c r="A12" s="11" t="inlineStr">
        <is>
          <t>Item 1(c) — Operations Security</t>
        </is>
      </c>
      <c r="B12" s="12" t="n"/>
      <c r="C12" s="12" t="n"/>
      <c r="D12" s="12" t="n"/>
      <c r="E12" s="12" t="n"/>
      <c r="F12" s="12" t="n"/>
      <c r="G12" s="12" t="n"/>
      <c r="H12" s="12" t="n"/>
      <c r="I12" s="12" t="n"/>
      <c r="J12" s="12" t="n"/>
      <c r="K12" s="12" t="n"/>
      <c r="L12" s="12" t="n"/>
      <c r="M12" s="12" t="n"/>
      <c r="N12" s="12" t="n"/>
    </row>
    <row r="13">
      <c r="A13" s="13" t="inlineStr">
        <is>
          <t>Operational controls ensure systems are managed securely. Expect documented procedures, controlled changes, tested backups, malware protection, vulnerability management. Operational failures cause avoidable incidents.</t>
        </is>
      </c>
      <c r="B13" s="14" t="n"/>
      <c r="C13" s="14" t="n"/>
      <c r="D13" s="14" t="n"/>
      <c r="E13" s="14" t="n"/>
      <c r="F13" s="14" t="n"/>
      <c r="G13" s="14" t="n"/>
      <c r="H13" s="14" t="n"/>
      <c r="I13" s="14" t="n"/>
      <c r="J13" s="14" t="n"/>
      <c r="K13" s="14" t="n"/>
      <c r="L13" s="14" t="n"/>
      <c r="M13" s="14" t="n"/>
      <c r="N13" s="14" t="n"/>
    </row>
    <row r="14">
      <c r="A14" s="15" t="inlineStr">
        <is>
          <t>App7-D1(c)</t>
        </is>
      </c>
      <c r="B14" s="15" t="inlineStr">
        <is>
          <t>PD-03</t>
        </is>
      </c>
      <c r="C14" s="15" t="inlineStr">
        <is>
          <t>ORG</t>
        </is>
      </c>
      <c r="D14" s="15" t="inlineStr">
        <is>
          <t>Operations Security</t>
        </is>
      </c>
      <c r="E14" s="15" t="inlineStr">
        <is>
          <t>Operational procedures, change management, backup, malware protection, and vulnerability management</t>
        </is>
      </c>
      <c r="F14" s="15" t="inlineStr"/>
      <c r="G14" s="15" t="inlineStr"/>
      <c r="H14" s="15" t="inlineStr"/>
      <c r="I14" s="15" t="inlineStr"/>
      <c r="J14" s="15" t="inlineStr"/>
      <c r="K14" s="15" t="inlineStr"/>
      <c r="L14" s="15" t="inlineStr"/>
      <c r="M14" s="16" t="inlineStr"/>
      <c r="N14" s="16" t="inlineStr"/>
    </row>
    <row r="15">
      <c r="A15" s="7" t="inlineStr">
        <is>
          <t>App7-D1(c)(i)</t>
        </is>
      </c>
      <c r="B15" s="7" t="inlineStr">
        <is>
          <t>PD-03.1</t>
        </is>
      </c>
      <c r="C15" s="7" t="inlineStr"/>
      <c r="D15" s="7" t="inlineStr"/>
      <c r="E15" s="7" t="inlineStr">
        <is>
          <t>Operational procedures and controls</t>
        </is>
      </c>
      <c r="F15"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G15" s="7" t="inlineStr">
        <is>
          <t>Operating procedures; 10 sampled change records; Backup schedule and restore test results; Anti-malware deployment reports</t>
        </is>
      </c>
      <c r="H15" s="7" t="inlineStr">
        <is>
          <t>Inspection</t>
        </is>
      </c>
      <c r="I15" s="7" t="inlineStr"/>
      <c r="J15" s="7" t="inlineStr"/>
      <c r="K15" s="7" t="inlineStr"/>
      <c r="L15" s="7" t="inlineStr"/>
      <c r="M15" s="7" t="inlineStr"/>
      <c r="N15" s="7" t="inlineStr"/>
    </row>
    <row r="16">
      <c r="A16" s="7" t="inlineStr">
        <is>
          <t>App7-D1(c)(ii)</t>
        </is>
      </c>
      <c r="B16" s="7" t="inlineStr">
        <is>
          <t>PD-03.2</t>
        </is>
      </c>
      <c r="C16" s="7" t="inlineStr"/>
      <c r="D16" s="7" t="inlineStr"/>
      <c r="E16" s="7" t="inlineStr">
        <is>
          <t>Vulnerability management and patching</t>
        </is>
      </c>
      <c r="F16" s="7" t="inlineStr">
        <is>
          <t>1. Obtain vulnerability management policy and patching SLAs.
2. Review most recent vulnerability scan results.
3. Check patch compliance rates.
4. Verify exceptions are formally risk-accepted.</t>
        </is>
      </c>
      <c r="G16" s="7" t="inlineStr">
        <is>
          <t>Vulnerability management policy; Scan reports; Patch compliance dashboard; Risk acceptance records</t>
        </is>
      </c>
      <c r="H16" s="7" t="inlineStr">
        <is>
          <t>Inspection</t>
        </is>
      </c>
      <c r="I16" s="7" t="inlineStr"/>
      <c r="J16" s="7" t="inlineStr"/>
      <c r="K16" s="7" t="inlineStr"/>
      <c r="L16" s="7" t="inlineStr"/>
      <c r="M16" s="7" t="inlineStr"/>
      <c r="N16" s="7" t="inlineStr"/>
    </row>
    <row r="17">
      <c r="A17" s="11" t="inlineStr">
        <is>
          <t>Item 1(d) — Communications Security</t>
        </is>
      </c>
      <c r="B17" s="12" t="n"/>
      <c r="C17" s="12" t="n"/>
      <c r="D17" s="12" t="n"/>
      <c r="E17" s="12" t="n"/>
      <c r="F17" s="12" t="n"/>
      <c r="G17" s="12" t="n"/>
      <c r="H17" s="12" t="n"/>
      <c r="I17" s="12" t="n"/>
      <c r="J17" s="12" t="n"/>
      <c r="K17" s="12" t="n"/>
      <c r="L17" s="12" t="n"/>
      <c r="M17" s="12" t="n"/>
      <c r="N17" s="12" t="n"/>
    </row>
    <row r="18">
      <c r="A18" s="13" t="inlineStr">
        <is>
          <t>Network controls protect data in transit and network integrity. Expect segmentation, least-privilege firewall rules, encryption, IDS/IPS. Network compromise provides access to all connected systems.</t>
        </is>
      </c>
      <c r="B18" s="14" t="n"/>
      <c r="C18" s="14" t="n"/>
      <c r="D18" s="14" t="n"/>
      <c r="E18" s="14" t="n"/>
      <c r="F18" s="14" t="n"/>
      <c r="G18" s="14" t="n"/>
      <c r="H18" s="14" t="n"/>
      <c r="I18" s="14" t="n"/>
      <c r="J18" s="14" t="n"/>
      <c r="K18" s="14" t="n"/>
      <c r="L18" s="14" t="n"/>
      <c r="M18" s="14" t="n"/>
      <c r="N18" s="14" t="n"/>
    </row>
    <row r="19">
      <c r="A19" s="15" t="inlineStr">
        <is>
          <t>App7-D1(d)</t>
        </is>
      </c>
      <c r="B19" s="15" t="inlineStr">
        <is>
          <t>PD-04</t>
        </is>
      </c>
      <c r="C19" s="15" t="inlineStr">
        <is>
          <t>ORG</t>
        </is>
      </c>
      <c r="D19" s="15" t="inlineStr">
        <is>
          <t>Communications Security</t>
        </is>
      </c>
      <c r="E19" s="15" t="inlineStr">
        <is>
          <t>Network security, segmentation, encryption of data in transit, and intrusion detection</t>
        </is>
      </c>
      <c r="F19" s="15" t="inlineStr"/>
      <c r="G19" s="15" t="inlineStr"/>
      <c r="H19" s="15" t="inlineStr"/>
      <c r="I19" s="15" t="inlineStr"/>
      <c r="J19" s="15" t="inlineStr"/>
      <c r="K19" s="15" t="inlineStr"/>
      <c r="L19" s="15" t="inlineStr"/>
      <c r="M19" s="16" t="inlineStr"/>
      <c r="N19" s="16" t="inlineStr"/>
    </row>
    <row r="20">
      <c r="A20" s="7" t="inlineStr">
        <is>
          <t>App7-D1(d)(i)</t>
        </is>
      </c>
      <c r="B20" s="7" t="inlineStr">
        <is>
          <t>PD-04.1</t>
        </is>
      </c>
      <c r="C20" s="7" t="inlineStr"/>
      <c r="D20" s="7" t="inlineStr"/>
      <c r="E20" s="7" t="inlineStr">
        <is>
          <t>Network security and secure communications</t>
        </is>
      </c>
      <c r="F20" s="7" t="inlineStr">
        <is>
          <t>1. Review network segmentation.
2. Verify firewall rules — sample 20 rules for least-privilege.
3. Confirm encryption of data in transit (TLS 1.2+).
4. Verify secure configuration of email, messaging, file transfer.
5. Check IDS/IPS deployed at critical boundaries.</t>
        </is>
      </c>
      <c r="G20" s="7" t="inlineStr">
        <is>
          <t>Network architecture diagram; Firewall rule base sample; TLS configuration; IDS/IPS deployment and alert records</t>
        </is>
      </c>
      <c r="H20" s="7" t="inlineStr">
        <is>
          <t>Inspection</t>
        </is>
      </c>
      <c r="I20" s="7" t="inlineStr"/>
      <c r="J20" s="7" t="inlineStr"/>
      <c r="K20" s="7" t="inlineStr"/>
      <c r="L20" s="7" t="inlineStr"/>
      <c r="M20" s="7" t="inlineStr"/>
      <c r="N20" s="7" t="inlineStr"/>
    </row>
    <row r="21">
      <c r="A21" s="11" t="inlineStr">
        <is>
          <t>Item 1(e) — Incident Management</t>
        </is>
      </c>
      <c r="B21" s="12" t="n"/>
      <c r="C21" s="12" t="n"/>
      <c r="D21" s="12" t="n"/>
      <c r="E21" s="12" t="n"/>
      <c r="F21" s="12" t="n"/>
      <c r="G21" s="12" t="n"/>
      <c r="H21" s="12" t="n"/>
      <c r="I21" s="12" t="n"/>
      <c r="J21" s="12" t="n"/>
      <c r="K21" s="12" t="n"/>
      <c r="L21" s="12" t="n"/>
      <c r="M21" s="12" t="n"/>
      <c r="N21" s="12" t="n"/>
    </row>
    <row r="22">
      <c r="A22" s="13" t="inlineStr">
        <is>
          <t>Incident management ensures timely detection, response, and recovery. Expect 24/7 SOC, SIEM, IR playbooks, annual exercises. Without incident management, breaches escalate unchecked.</t>
        </is>
      </c>
      <c r="B22" s="14" t="n"/>
      <c r="C22" s="14" t="n"/>
      <c r="D22" s="14" t="n"/>
      <c r="E22" s="14" t="n"/>
      <c r="F22" s="14" t="n"/>
      <c r="G22" s="14" t="n"/>
      <c r="H22" s="14" t="n"/>
      <c r="I22" s="14" t="n"/>
      <c r="J22" s="14" t="n"/>
      <c r="K22" s="14" t="n"/>
      <c r="L22" s="14" t="n"/>
      <c r="M22" s="14" t="n"/>
      <c r="N22" s="14" t="n"/>
    </row>
    <row r="23">
      <c r="A23" s="15" t="inlineStr">
        <is>
          <t>App7-D1(e)</t>
        </is>
      </c>
      <c r="B23" s="15" t="inlineStr">
        <is>
          <t>PD-05</t>
        </is>
      </c>
      <c r="C23" s="15" t="inlineStr">
        <is>
          <t>ORG</t>
        </is>
      </c>
      <c r="D23" s="15" t="inlineStr">
        <is>
          <t>Incident Management</t>
        </is>
      </c>
      <c r="E23" s="15" t="inlineStr">
        <is>
          <t>Incident detection, classification, response, RCA, and regulatory notification</t>
        </is>
      </c>
      <c r="F23" s="15" t="inlineStr"/>
      <c r="G23" s="15" t="inlineStr"/>
      <c r="H23" s="15" t="inlineStr"/>
      <c r="I23" s="15" t="inlineStr"/>
      <c r="J23" s="15" t="inlineStr"/>
      <c r="K23" s="15" t="inlineStr"/>
      <c r="L23" s="15" t="inlineStr"/>
      <c r="M23" s="16" t="inlineStr"/>
      <c r="N23" s="16" t="inlineStr"/>
    </row>
    <row r="24">
      <c r="A24" s="7" t="inlineStr">
        <is>
          <t>App7-D1(e)(i)</t>
        </is>
      </c>
      <c r="B24" s="7" t="inlineStr">
        <is>
          <t>PD-05.1</t>
        </is>
      </c>
      <c r="C24" s="7" t="inlineStr"/>
      <c r="D24" s="7" t="inlineStr"/>
      <c r="E24" s="7" t="inlineStr">
        <is>
          <t>Incident management framework</t>
        </is>
      </c>
      <c r="F24" s="7" t="inlineStr">
        <is>
          <t>1. Obtain incident management policy and procedures.
2. Verify incident classification scheme.
3. Review incident log for past 12 months.
4. Verify RCA for significant incidents with corrective actions.
5. Confirm regulatory notification procedures.</t>
        </is>
      </c>
      <c r="G24" s="7" t="inlineStr">
        <is>
          <t>Incident management policy; Classification matrix; Incident log (12 months); RCA reports; Regulatory notification records</t>
        </is>
      </c>
      <c r="H24" s="7" t="inlineStr">
        <is>
          <t>Inspection</t>
        </is>
      </c>
      <c r="I24" s="7" t="inlineStr"/>
      <c r="J24" s="7" t="inlineStr"/>
      <c r="K24" s="7" t="inlineStr"/>
      <c r="L24" s="7" t="inlineStr"/>
      <c r="M24" s="7" t="inlineStr"/>
      <c r="N24" s="7" t="inlineStr"/>
    </row>
    <row r="25">
      <c r="A25" s="7" t="inlineStr">
        <is>
          <t>App7-D1(e)(ii)</t>
        </is>
      </c>
      <c r="B25" s="7" t="inlineStr">
        <is>
          <t>PD-05.2</t>
        </is>
      </c>
      <c r="C25" s="7" t="inlineStr"/>
      <c r="D25" s="7" t="inlineStr"/>
      <c r="E25" s="7" t="inlineStr">
        <is>
          <t>Detection and response capabilities</t>
        </is>
      </c>
      <c r="F25" s="7" t="inlineStr">
        <is>
          <t>1. Confirm SOC operates 24/7.
2. Verify SIEM deployment with critical log sources.
3. Sample 15 alerts — verify triage.
4. Confirm IR playbooks for common scenarios.
5. Verify annual IR drills/tabletop exercises.</t>
        </is>
      </c>
      <c r="G25" s="7" t="inlineStr">
        <is>
          <t>SOC operational documentation; SIEM log source inventory; 15 sampled alert records; IR playbooks; Drill/tabletop reports</t>
        </is>
      </c>
      <c r="H25" s="7" t="inlineStr">
        <is>
          <t>Inspection / Inquiry</t>
        </is>
      </c>
      <c r="I25" s="7" t="inlineStr"/>
      <c r="J25" s="7" t="inlineStr"/>
      <c r="K25" s="7" t="inlineStr"/>
      <c r="L25" s="7" t="inlineStr"/>
      <c r="M25" s="7" t="inlineStr"/>
      <c r="N25" s="7" t="inlineStr"/>
    </row>
    <row r="26">
      <c r="A26" s="11" t="inlineStr">
        <is>
          <t>Item 1(f) — Business Continuity</t>
        </is>
      </c>
      <c r="B26" s="12" t="n"/>
      <c r="C26" s="12" t="n"/>
      <c r="D26" s="12" t="n"/>
      <c r="E26" s="12" t="n"/>
      <c r="F26" s="12" t="n"/>
      <c r="G26" s="12" t="n"/>
      <c r="H26" s="12" t="n"/>
      <c r="I26" s="12" t="n"/>
      <c r="J26" s="12" t="n"/>
      <c r="K26" s="12" t="n"/>
      <c r="L26" s="12" t="n"/>
      <c r="M26" s="12" t="n"/>
      <c r="N26" s="12" t="n"/>
    </row>
    <row r="27">
      <c r="A27" s="13" t="inlineStr">
        <is>
          <t>Business continuity ensures operations continue during disruptions. Expect BCP/DRP with cyber scenarios, tested DR including security controls, redundant security infrastructure. Untested DR fails when needed.</t>
        </is>
      </c>
      <c r="B27" s="14" t="n"/>
      <c r="C27" s="14" t="n"/>
      <c r="D27" s="14" t="n"/>
      <c r="E27" s="14" t="n"/>
      <c r="F27" s="14" t="n"/>
      <c r="G27" s="14" t="n"/>
      <c r="H27" s="14" t="n"/>
      <c r="I27" s="14" t="n"/>
      <c r="J27" s="14" t="n"/>
      <c r="K27" s="14" t="n"/>
      <c r="L27" s="14" t="n"/>
      <c r="M27" s="14" t="n"/>
      <c r="N27" s="14" t="n"/>
    </row>
    <row r="28">
      <c r="A28" s="15" t="inlineStr">
        <is>
          <t>App7-D1(f)</t>
        </is>
      </c>
      <c r="B28" s="15" t="inlineStr">
        <is>
          <t>PD-06</t>
        </is>
      </c>
      <c r="C28" s="15" t="inlineStr">
        <is>
          <t>ORG</t>
        </is>
      </c>
      <c r="D28" s="15" t="inlineStr">
        <is>
          <t>Business Continuity</t>
        </is>
      </c>
      <c r="E28" s="15" t="inlineStr">
        <is>
          <t>Security in BCP/DRP, DR testing with security controls, and redundancy of security infrastructure</t>
        </is>
      </c>
      <c r="F28" s="15" t="inlineStr"/>
      <c r="G28" s="15" t="inlineStr"/>
      <c r="H28" s="15" t="inlineStr"/>
      <c r="I28" s="15" t="inlineStr"/>
      <c r="J28" s="15" t="inlineStr"/>
      <c r="K28" s="15" t="inlineStr"/>
      <c r="L28" s="15" t="inlineStr"/>
      <c r="M28" s="16" t="inlineStr"/>
      <c r="N28" s="16" t="inlineStr"/>
    </row>
    <row r="29">
      <c r="A29" s="7" t="inlineStr">
        <is>
          <t>App7-D1(f)(i)</t>
        </is>
      </c>
      <c r="B29" s="7" t="inlineStr">
        <is>
          <t>PD-06.1</t>
        </is>
      </c>
      <c r="C29" s="7" t="inlineStr"/>
      <c r="D29" s="7" t="inlineStr"/>
      <c r="E29" s="7" t="inlineStr">
        <is>
          <t>Security in BCP/DRP</t>
        </is>
      </c>
      <c r="F29" s="7" t="inlineStr">
        <is>
          <t>1. Obtain BCP and IT DRP.
2. Verify security requirements addressed in BCP/DRP.
3. Check BCP/DRP includes cyber incident scenarios.
4. Verify recovery procedures include security validation.</t>
        </is>
      </c>
      <c r="G29" s="7" t="inlineStr">
        <is>
          <t>BCP and IT DRP; Security requirements in BCP/DRP; Cyber incident scenarios; Recovery security validation checklists</t>
        </is>
      </c>
      <c r="H29" s="7" t="inlineStr">
        <is>
          <t>Inspection</t>
        </is>
      </c>
      <c r="I29" s="7" t="inlineStr"/>
      <c r="J29" s="7" t="inlineStr"/>
      <c r="K29" s="7" t="inlineStr"/>
      <c r="L29" s="7" t="inlineStr"/>
      <c r="M29" s="7" t="inlineStr"/>
      <c r="N29" s="7" t="inlineStr"/>
    </row>
    <row r="30">
      <c r="A30" s="7" t="inlineStr">
        <is>
          <t>App7-D1(f)(ii)</t>
        </is>
      </c>
      <c r="B30" s="7" t="inlineStr">
        <is>
          <t>PD-06.2</t>
        </is>
      </c>
      <c r="C30" s="7" t="inlineStr"/>
      <c r="D30" s="7" t="inlineStr"/>
      <c r="E30" s="7" t="inlineStr">
        <is>
          <t>BCP/DRP testing with security controls</t>
        </is>
      </c>
      <c r="F30" s="7" t="inlineStr">
        <is>
          <t>1. Review most recent BCP/DRP test.
2. Verify security controls tested during DR exercise.
3. Confirm security findings remediated.
4. Verify DR site maintains equivalent security posture.</t>
        </is>
      </c>
      <c r="G30" s="7" t="inlineStr">
        <is>
          <t>BCP/DRP test plan and results; Security test components; DR site security assessment; Remediation tracker</t>
        </is>
      </c>
      <c r="H30" s="7" t="inlineStr">
        <is>
          <t>Inspection</t>
        </is>
      </c>
      <c r="I30" s="7" t="inlineStr"/>
      <c r="J30" s="7" t="inlineStr"/>
      <c r="K30" s="7" t="inlineStr"/>
      <c r="L30" s="7" t="inlineStr"/>
      <c r="M30" s="7" t="inlineStr"/>
      <c r="N30" s="7" t="inlineStr"/>
    </row>
    <row r="31">
      <c r="A31" s="7" t="inlineStr">
        <is>
          <t>App7-D1(f)(iii)</t>
        </is>
      </c>
      <c r="B31" s="7" t="inlineStr">
        <is>
          <t>PD-06.3</t>
        </is>
      </c>
      <c r="C31" s="7" t="inlineStr"/>
      <c r="D31" s="7" t="inlineStr"/>
      <c r="E31" s="7" t="inlineStr">
        <is>
          <t>Redundancy of security infrastructure</t>
        </is>
      </c>
      <c r="F31" s="7" t="inlineStr">
        <is>
          <t>1. Identify critical security infrastructure and verify HA configuration.
2. Confirm failover tested.
3. Verify monitoring continues during DR.
4. Check licenses valid at DR site.</t>
        </is>
      </c>
      <c r="G31" s="7" t="inlineStr">
        <is>
          <t>Security infrastructure HA architecture; Failover test records; DR monitoring evidence; License/subscription records</t>
        </is>
      </c>
      <c r="H31" s="7" t="inlineStr">
        <is>
          <t>Inspection</t>
        </is>
      </c>
      <c r="I31" s="7" t="inlineStr"/>
      <c r="J31" s="7" t="inlineStr"/>
      <c r="K31" s="7" t="inlineStr"/>
      <c r="L31" s="7" t="inlineStr"/>
      <c r="M31" s="7" t="inlineStr"/>
      <c r="N31" s="7" t="inlineStr"/>
    </row>
    <row r="32">
      <c r="A32" s="11" t="inlineStr">
        <is>
          <t>Item 2(a) — Customer Identity Authentication</t>
        </is>
      </c>
      <c r="B32" s="12" t="n"/>
      <c r="C32" s="12" t="n"/>
      <c r="D32" s="12" t="n"/>
      <c r="E32" s="12" t="n"/>
      <c r="F32" s="12" t="n"/>
      <c r="G32" s="12" t="n"/>
      <c r="H32" s="12" t="n"/>
      <c r="I32" s="12" t="n"/>
      <c r="J32" s="12" t="n"/>
      <c r="K32" s="12" t="n"/>
      <c r="L32" s="12" t="n"/>
      <c r="M32" s="12" t="n"/>
      <c r="N32" s="12" t="n"/>
    </row>
    <row r="33">
      <c r="A33" s="13" t="inlineStr">
        <is>
          <t>Customer authentication protects online services from unauthorised access. Expect MFA, secure sessions, strong cryptography, anti-session-fixation. Weak authentication directly exposes customers.</t>
        </is>
      </c>
      <c r="B33" s="14" t="n"/>
      <c r="C33" s="14" t="n"/>
      <c r="D33" s="14" t="n"/>
      <c r="E33" s="14" t="n"/>
      <c r="F33" s="14" t="n"/>
      <c r="G33" s="14" t="n"/>
      <c r="H33" s="14" t="n"/>
      <c r="I33" s="14" t="n"/>
      <c r="J33" s="14" t="n"/>
      <c r="K33" s="14" t="n"/>
      <c r="L33" s="14" t="n"/>
      <c r="M33" s="14" t="n"/>
      <c r="N33" s="14" t="n"/>
    </row>
    <row r="34">
      <c r="A34" s="15" t="inlineStr">
        <is>
          <t>App7-D2(a)</t>
        </is>
      </c>
      <c r="B34" s="15" t="inlineStr">
        <is>
          <t>PD-07</t>
        </is>
      </c>
      <c r="C34" s="15" t="inlineStr">
        <is>
          <t>WORKLOAD</t>
        </is>
      </c>
      <c r="D34" s="15" t="inlineStr">
        <is>
          <t>Customer Authentication</t>
        </is>
      </c>
      <c r="E34" s="15" t="inlineStr">
        <is>
          <t>Session protection, MFA, credential storage, and cryptographic implementation</t>
        </is>
      </c>
      <c r="F34" s="15" t="inlineStr"/>
      <c r="G34" s="15" t="inlineStr"/>
      <c r="H34" s="15" t="inlineStr"/>
      <c r="I34" s="15" t="inlineStr"/>
      <c r="J34" s="15" t="inlineStr"/>
      <c r="K34" s="15" t="inlineStr"/>
      <c r="L34" s="15" t="inlineStr"/>
      <c r="M34" s="16" t="inlineStr"/>
      <c r="N34" s="16" t="inlineStr"/>
    </row>
    <row r="35">
      <c r="A35" s="7" t="inlineStr">
        <is>
          <t>App7-D2(a)(i)</t>
        </is>
      </c>
      <c r="B35" s="7" t="inlineStr">
        <is>
          <t>PD-07.1</t>
        </is>
      </c>
      <c r="C35" s="7" t="inlineStr"/>
      <c r="D35" s="7" t="inlineStr"/>
      <c r="E35" s="7" t="inlineStr">
        <is>
          <t>Session and MITM protection</t>
        </is>
      </c>
      <c r="F35" s="7" t="inlineStr">
        <is>
          <t>1. Review session management controls.
2. Verify TLS 1.2+, HSTS, certificate validity.
3. Confirm session tokens are cryptographically random with proper expiry.
4. Check anti-session-fixation controls.
5. Verify certificate pinning for mobile apps.</t>
        </is>
      </c>
      <c r="G35" s="7" t="inlineStr">
        <is>
          <t>TLS scan results; Session management config; Application security assessment; Mobile cert pinning evidence</t>
        </is>
      </c>
      <c r="H35" s="7" t="inlineStr">
        <is>
          <t>Inspection</t>
        </is>
      </c>
      <c r="I35" s="7" t="inlineStr"/>
      <c r="J35" s="7" t="inlineStr"/>
      <c r="K35" s="7" t="inlineStr"/>
      <c r="L35" s="7" t="inlineStr"/>
      <c r="M35" s="7" t="inlineStr"/>
      <c r="N35" s="7" t="inlineStr"/>
    </row>
    <row r="36">
      <c r="A36" s="7" t="inlineStr">
        <is>
          <t>App7-D2(a)(ii)</t>
        </is>
      </c>
      <c r="B36" s="7" t="inlineStr">
        <is>
          <t>PD-07.2</t>
        </is>
      </c>
      <c r="C36" s="7" t="inlineStr"/>
      <c r="D36" s="7" t="inlineStr"/>
      <c r="E36" s="7" t="inlineStr">
        <is>
          <t>Internal controls for online systems</t>
        </is>
      </c>
      <c r="F36" s="7" t="inlineStr">
        <is>
          <t>1. Verify application hardening.
2. Review app security testing results (SAST, DAST, pen test).
3. Confirm database security controls.
4. Check segmentation from corporate network.</t>
        </is>
      </c>
      <c r="G36" s="7" t="inlineStr">
        <is>
          <t>Hardening standards; App security test reports; Database security config; Network segmentation evidence</t>
        </is>
      </c>
      <c r="H36" s="7" t="inlineStr">
        <is>
          <t>Inspection</t>
        </is>
      </c>
      <c r="I36" s="7" t="inlineStr"/>
      <c r="J36" s="7" t="inlineStr"/>
      <c r="K36" s="7" t="inlineStr"/>
      <c r="L36" s="7" t="inlineStr"/>
      <c r="M36" s="7" t="inlineStr"/>
      <c r="N36" s="7" t="inlineStr"/>
    </row>
    <row r="37">
      <c r="A37" s="7" t="inlineStr">
        <is>
          <t>App7-D2(a)(iii)</t>
        </is>
      </c>
      <c r="B37" s="7" t="inlineStr">
        <is>
          <t>PD-07.3</t>
        </is>
      </c>
      <c r="C37" s="7" t="inlineStr"/>
      <c r="D37" s="7" t="inlineStr"/>
      <c r="E37" s="7" t="inlineStr">
        <is>
          <t>Multi-level authentication</t>
        </is>
      </c>
      <c r="F37" s="7" t="inlineStr">
        <is>
          <t>1. Review authentication architecture.
2. Verify MFA for login and high-risk transactions.
3. Check out-of-band authentication mechanisms.
4. Verify real-time verification for high-value transactions.
5. Assess authentication strength relative to transaction risk.</t>
        </is>
      </c>
      <c r="G37" s="7" t="inlineStr">
        <is>
          <t>Authentication architecture; MFA config; OTP/out-of-band mechanism; Risk-based authentication rules</t>
        </is>
      </c>
      <c r="H37" s="7" t="inlineStr">
        <is>
          <t>Inspection</t>
        </is>
      </c>
      <c r="I37" s="7" t="inlineStr"/>
      <c r="J37" s="7" t="inlineStr"/>
      <c r="K37" s="7" t="inlineStr"/>
      <c r="L37" s="7" t="inlineStr"/>
      <c r="M37" s="7" t="inlineStr"/>
      <c r="N37" s="7" t="inlineStr"/>
    </row>
    <row r="38">
      <c r="A38" s="7" t="inlineStr">
        <is>
          <t>App7-D2(a)(iv)</t>
        </is>
      </c>
      <c r="B38" s="7" t="inlineStr">
        <is>
          <t>PD-07.4</t>
        </is>
      </c>
      <c r="C38" s="7" t="inlineStr"/>
      <c r="D38" s="7" t="inlineStr"/>
      <c r="E38" s="7" t="inlineStr">
        <is>
          <t>Session handling and credential storage</t>
        </is>
      </c>
      <c r="F38" s="7" t="inlineStr">
        <is>
          <t>1. Verify session timeouts (idle and absolute).
2. Confirm concurrent session controls.
3. Verify credentials stored with strong hashing (bcrypt, Argon2).
4. Check auth database access-restricted and encrypted.
5. Review account lockout configuration.</t>
        </is>
      </c>
      <c r="G38" s="7" t="inlineStr">
        <is>
          <t>Session management config; Password hashing evidence; Auth database access controls; Account lockout config</t>
        </is>
      </c>
      <c r="H38" s="7" t="inlineStr">
        <is>
          <t>Inspection</t>
        </is>
      </c>
      <c r="I38" s="7" t="inlineStr"/>
      <c r="J38" s="7" t="inlineStr"/>
      <c r="K38" s="7" t="inlineStr"/>
      <c r="L38" s="7" t="inlineStr"/>
      <c r="M38" s="7" t="inlineStr"/>
      <c r="N38" s="7" t="inlineStr"/>
    </row>
    <row r="39">
      <c r="A39" s="7" t="inlineStr">
        <is>
          <t>App7-D2(a)(v)</t>
        </is>
      </c>
      <c r="B39" s="7" t="inlineStr">
        <is>
          <t>PD-07.5</t>
        </is>
      </c>
      <c r="C39" s="7" t="inlineStr"/>
      <c r="D39" s="7" t="inlineStr"/>
      <c r="E39" s="7" t="inlineStr">
        <is>
          <t>Cryptographic implementation</t>
        </is>
      </c>
      <c r="F39" s="7" t="inlineStr">
        <is>
          <t>1. Review cryptographic standards (AES-256, RSA-2048+, ECDSA P-256+).
2. Verify key management practices.
3. Check no deprecated algorithms.
4. Verify crypto implementation reviewed/tested.</t>
        </is>
      </c>
      <c r="G39" s="7" t="inlineStr">
        <is>
          <t>Cryptographic standards document; Key management procedures; HSM config; Crypto assessment results</t>
        </is>
      </c>
      <c r="H39" s="7" t="inlineStr">
        <is>
          <t>Inspection</t>
        </is>
      </c>
      <c r="I39" s="7" t="inlineStr"/>
      <c r="J39" s="7" t="inlineStr"/>
      <c r="K39" s="7" t="inlineStr"/>
      <c r="L39" s="7" t="inlineStr"/>
      <c r="M39" s="7" t="inlineStr"/>
      <c r="N39" s="7" t="inlineStr"/>
    </row>
    <row r="40">
      <c r="A40" s="11" t="inlineStr">
        <is>
          <t>Item 2(b) — Transaction Authentication</t>
        </is>
      </c>
      <c r="B40" s="12" t="n"/>
      <c r="C40" s="12" t="n"/>
      <c r="D40" s="12" t="n"/>
      <c r="E40" s="12" t="n"/>
      <c r="F40" s="12" t="n"/>
      <c r="G40" s="12" t="n"/>
      <c r="H40" s="12" t="n"/>
      <c r="I40" s="12" t="n"/>
      <c r="J40" s="12" t="n"/>
      <c r="K40" s="12" t="n"/>
      <c r="L40" s="12" t="n"/>
      <c r="M40" s="12" t="n"/>
      <c r="N40" s="12" t="n"/>
    </row>
    <row r="41">
      <c r="A41" s="13" t="inlineStr">
        <is>
          <t>Transaction authentication ensures non-repudiation and integrity. Expect transaction signing, tamper-evident audit trails, mutual authentication. Without non-repudiation, disputes cannot be resolved.</t>
        </is>
      </c>
      <c r="B41" s="14" t="n"/>
      <c r="C41" s="14" t="n"/>
      <c r="D41" s="14" t="n"/>
      <c r="E41" s="14" t="n"/>
      <c r="F41" s="14" t="n"/>
      <c r="G41" s="14" t="n"/>
      <c r="H41" s="14" t="n"/>
      <c r="I41" s="14" t="n"/>
      <c r="J41" s="14" t="n"/>
      <c r="K41" s="14" t="n"/>
      <c r="L41" s="14" t="n"/>
      <c r="M41" s="14" t="n"/>
      <c r="N41" s="14" t="n"/>
    </row>
    <row r="42">
      <c r="A42" s="15" t="inlineStr">
        <is>
          <t>App7-D2(b)</t>
        </is>
      </c>
      <c r="B42" s="15" t="inlineStr">
        <is>
          <t>PD-08</t>
        </is>
      </c>
      <c r="C42" s="15" t="inlineStr">
        <is>
          <t>WORKLOAD</t>
        </is>
      </c>
      <c r="D42" s="15" t="inlineStr">
        <is>
          <t>Transaction Authentication</t>
        </is>
      </c>
      <c r="E42" s="15" t="inlineStr">
        <is>
          <t>Proof of origin, integrity, secure delivery, and mutual authentication</t>
        </is>
      </c>
      <c r="F42" s="15" t="inlineStr"/>
      <c r="G42" s="15" t="inlineStr"/>
      <c r="H42" s="15" t="inlineStr"/>
      <c r="I42" s="15" t="inlineStr"/>
      <c r="J42" s="15" t="inlineStr"/>
      <c r="K42" s="15" t="inlineStr"/>
      <c r="L42" s="15" t="inlineStr"/>
      <c r="M42" s="16" t="inlineStr"/>
      <c r="N42" s="16" t="inlineStr"/>
    </row>
    <row r="43">
      <c r="A43" s="7" t="inlineStr">
        <is>
          <t>App7-D2(b)(i)</t>
        </is>
      </c>
      <c r="B43" s="7" t="inlineStr">
        <is>
          <t>PD-08.1</t>
        </is>
      </c>
      <c r="C43" s="7" t="inlineStr"/>
      <c r="D43" s="7" t="inlineStr"/>
      <c r="E43" s="7" t="inlineStr">
        <is>
          <t>Proof of origin and integrity</t>
        </is>
      </c>
      <c r="F43" s="7" t="inlineStr">
        <is>
          <t>1. Review transaction signing/MAC mechanisms.
2. Verify records include origin, timestamp, hash, integrity verification.
3. Confirm tamper-evident audit trails.
4. Check logs sufficient for dispute resolution.</t>
        </is>
      </c>
      <c r="G43" s="7" t="inlineStr">
        <is>
          <t>Transaction authentication mechanism; Sample transaction records; Audit trail controls; Log retention policy</t>
        </is>
      </c>
      <c r="H43" s="7" t="inlineStr">
        <is>
          <t>Inspection</t>
        </is>
      </c>
      <c r="I43" s="7" t="inlineStr"/>
      <c r="J43" s="7" t="inlineStr"/>
      <c r="K43" s="7" t="inlineStr"/>
      <c r="L43" s="7" t="inlineStr"/>
      <c r="M43" s="7" t="inlineStr"/>
      <c r="N43" s="7" t="inlineStr"/>
    </row>
    <row r="44">
      <c r="A44" s="7" t="inlineStr">
        <is>
          <t>App7-D2(b)(ii)</t>
        </is>
      </c>
      <c r="B44" s="7" t="inlineStr">
        <is>
          <t>PD-08.2</t>
        </is>
      </c>
      <c r="C44" s="7" t="inlineStr"/>
      <c r="D44" s="7" t="inlineStr"/>
      <c r="E44" s="7" t="inlineStr">
        <is>
          <t>Secure delivery and mutual authentication</t>
        </is>
      </c>
      <c r="F44" s="7" t="inlineStr">
        <is>
          <t>1. Verify delivery channel secured end-to-end.
2. Check alerts for high-risk transaction types.
3. Verify mutual authentication for B2B channels.
4. Review triggers for additional authentication.</t>
        </is>
      </c>
      <c r="G44" s="7" t="inlineStr">
        <is>
          <t>Channel security architecture; Transaction alert config; Mutual authentication implementation; Authentication trigger criteria</t>
        </is>
      </c>
      <c r="H44" s="7" t="inlineStr">
        <is>
          <t>Inspection</t>
        </is>
      </c>
      <c r="I44" s="7" t="inlineStr"/>
      <c r="J44" s="7" t="inlineStr"/>
      <c r="K44" s="7" t="inlineStr"/>
      <c r="L44" s="7" t="inlineStr"/>
      <c r="M44" s="7" t="inlineStr"/>
      <c r="N44" s="7" t="inlineStr"/>
    </row>
    <row r="45">
      <c r="A45" s="7" t="inlineStr">
        <is>
          <t>App7-D2(b)(iii)</t>
        </is>
      </c>
      <c r="B45" s="7" t="inlineStr">
        <is>
          <t>PD-08.3</t>
        </is>
      </c>
      <c r="C45" s="7" t="inlineStr"/>
      <c r="D45" s="7" t="inlineStr"/>
      <c r="E45" s="7" t="inlineStr">
        <is>
          <t>Transaction notification and confirmation</t>
        </is>
      </c>
      <c r="F45" s="7" t="inlineStr">
        <is>
          <t>1. Verify transaction notifications sent (push, SMS, email).
2. Confirm high-risk transactions trigger real-time alerts.
3. Check customer can dispute/report through notifications.
4. Verify notification delivery is reliable.</t>
        </is>
      </c>
      <c r="G45" s="7" t="inlineStr">
        <is>
          <t>Transaction notification config; Alert rules; Customer dispute channel; Notification delivery SLAs</t>
        </is>
      </c>
      <c r="H45" s="7" t="inlineStr">
        <is>
          <t>Inspection</t>
        </is>
      </c>
      <c r="I45" s="7" t="inlineStr"/>
      <c r="J45" s="7" t="inlineStr"/>
      <c r="K45" s="7" t="inlineStr"/>
      <c r="L45" s="7" t="inlineStr"/>
      <c r="M45" s="7" t="inlineStr"/>
      <c r="N45" s="7" t="inlineStr"/>
    </row>
    <row r="46">
      <c r="A46" s="7" t="inlineStr">
        <is>
          <t>App7-D2(b)(iv)</t>
        </is>
      </c>
      <c r="B46" s="7" t="inlineStr">
        <is>
          <t>PD-08.4</t>
        </is>
      </c>
      <c r="C46" s="7" t="inlineStr"/>
      <c r="D46" s="7" t="inlineStr"/>
      <c r="E46" s="7" t="inlineStr">
        <is>
          <t>Transaction binding and anti-replay</t>
        </is>
      </c>
      <c r="F46" s="7" t="inlineStr">
        <is>
          <t>1. Verify authentication tokens bound to specific transaction parameters.
2. Check anti-replay mechanisms (nonce, timestamp).
3. Verify OTP/TAC is single-use and expires within 2-5 minutes.
4. Confirm transaction cannot be modified after authentication.</t>
        </is>
      </c>
      <c r="G46" s="7" t="inlineStr">
        <is>
          <t>Transaction binding mechanism; Anti-replay controls; OTP/TAC config; Transaction immutability controls</t>
        </is>
      </c>
      <c r="H46" s="7" t="inlineStr">
        <is>
          <t>Inspection</t>
        </is>
      </c>
      <c r="I46" s="7" t="inlineStr"/>
      <c r="J46" s="7" t="inlineStr"/>
      <c r="K46" s="7" t="inlineStr"/>
      <c r="L46" s="7" t="inlineStr"/>
      <c r="M46" s="7" t="inlineStr"/>
      <c r="N46" s="7" t="inlineStr"/>
    </row>
    <row r="47">
      <c r="A47" s="11" t="inlineStr">
        <is>
          <t>Item 2(c) — Segregation of Duties</t>
        </is>
      </c>
      <c r="B47" s="12" t="n"/>
      <c r="C47" s="12" t="n"/>
      <c r="D47" s="12" t="n"/>
      <c r="E47" s="12" t="n"/>
      <c r="F47" s="12" t="n"/>
      <c r="G47" s="12" t="n"/>
      <c r="H47" s="12" t="n"/>
      <c r="I47" s="12" t="n"/>
      <c r="J47" s="12" t="n"/>
      <c r="K47" s="12" t="n"/>
      <c r="L47" s="12" t="n"/>
      <c r="M47" s="12" t="n"/>
      <c r="N47" s="12" t="n"/>
    </row>
    <row r="48">
      <c r="A48" s="13" t="inlineStr">
        <is>
          <t>SoD prevents single-person control over critical operations. Expect maker-checker, privileged user reviews, tamper-resistant authorisation. SoD failures enable fraud.</t>
        </is>
      </c>
      <c r="B48" s="14" t="n"/>
      <c r="C48" s="14" t="n"/>
      <c r="D48" s="14" t="n"/>
      <c r="E48" s="14" t="n"/>
      <c r="F48" s="14" t="n"/>
      <c r="G48" s="14" t="n"/>
      <c r="H48" s="14" t="n"/>
      <c r="I48" s="14" t="n"/>
      <c r="J48" s="14" t="n"/>
      <c r="K48" s="14" t="n"/>
      <c r="L48" s="14" t="n"/>
      <c r="M48" s="14" t="n"/>
      <c r="N48" s="14" t="n"/>
    </row>
    <row r="49">
      <c r="A49" s="15" t="inlineStr">
        <is>
          <t>App7-D2(c)</t>
        </is>
      </c>
      <c r="B49" s="15" t="inlineStr">
        <is>
          <t>PD-09</t>
        </is>
      </c>
      <c r="C49" s="15" t="inlineStr">
        <is>
          <t>WORKLOAD</t>
        </is>
      </c>
      <c r="D49" s="15" t="inlineStr">
        <is>
          <t>Segregation of Duties</t>
        </is>
      </c>
      <c r="E49" s="15" t="inlineStr">
        <is>
          <t>Dual control, maker-checker, and authorisation database integrity</t>
        </is>
      </c>
      <c r="F49" s="15" t="inlineStr"/>
      <c r="G49" s="15" t="inlineStr"/>
      <c r="H49" s="15" t="inlineStr"/>
      <c r="I49" s="15" t="inlineStr"/>
      <c r="J49" s="15" t="inlineStr"/>
      <c r="K49" s="15" t="inlineStr"/>
      <c r="L49" s="15" t="inlineStr"/>
      <c r="M49" s="16" t="inlineStr"/>
      <c r="N49" s="16" t="inlineStr"/>
    </row>
    <row r="50">
      <c r="A50" s="7" t="inlineStr">
        <is>
          <t>App7-D2(c)(i)</t>
        </is>
      </c>
      <c r="B50" s="7" t="inlineStr">
        <is>
          <t>PD-09.1</t>
        </is>
      </c>
      <c r="C50" s="7" t="inlineStr"/>
      <c r="D50" s="7" t="inlineStr"/>
      <c r="E50" s="7" t="inlineStr">
        <is>
          <t>Dual control for online transactions</t>
        </is>
      </c>
      <c r="F50" s="7" t="inlineStr">
        <is>
          <t>1. Identify critical functions in online transaction systems.
2. Verify maker-checker for critical operations.
3. Review access control matrices — no single user can initiate and approve.
4. Verify unauthorised access detection.</t>
        </is>
      </c>
      <c r="G50" s="7" t="inlineStr">
        <is>
          <t>Access control matrices; Maker-checker config; Dual control workflow; Unauthorised access detection controls</t>
        </is>
      </c>
      <c r="H50" s="7" t="inlineStr">
        <is>
          <t>Inspection</t>
        </is>
      </c>
      <c r="I50" s="7" t="inlineStr"/>
      <c r="J50" s="7" t="inlineStr"/>
      <c r="K50" s="7" t="inlineStr"/>
      <c r="L50" s="7" t="inlineStr"/>
      <c r="M50" s="7" t="inlineStr"/>
      <c r="N50" s="7" t="inlineStr"/>
    </row>
    <row r="51">
      <c r="A51" s="7" t="inlineStr">
        <is>
          <t>App7-D2(c)(ii)</t>
        </is>
      </c>
      <c r="B51" s="7" t="inlineStr">
        <is>
          <t>PD-09.2</t>
        </is>
      </c>
      <c r="C51" s="7" t="inlineStr"/>
      <c r="D51" s="7" t="inlineStr"/>
      <c r="E51" s="7" t="inlineStr">
        <is>
          <t>Authorisation database integrity</t>
        </is>
      </c>
      <c r="F51" s="7" t="inlineStr">
        <is>
          <t>1. Verify authorisation database is tamper-resistant.
2. Confirm changes require approval and are logged.
3. Obtain privileged user list — verify quarterly review.
4. Check reviews result in revocation of unnecessary access.</t>
        </is>
      </c>
      <c r="G51" s="7" t="inlineStr">
        <is>
          <t>Auth database access controls; Change logs; Privileged user review records; Revocation evidence</t>
        </is>
      </c>
      <c r="H51" s="7" t="inlineStr">
        <is>
          <t>Inspection</t>
        </is>
      </c>
      <c r="I51" s="7" t="inlineStr"/>
      <c r="J51" s="7" t="inlineStr"/>
      <c r="K51" s="7" t="inlineStr"/>
      <c r="L51" s="7" t="inlineStr"/>
      <c r="M51" s="7" t="inlineStr"/>
      <c r="N51" s="7" t="inlineStr"/>
    </row>
    <row r="52">
      <c r="A52" s="7" t="inlineStr">
        <is>
          <t>App7-D2(c)(iii)</t>
        </is>
      </c>
      <c r="B52" s="7" t="inlineStr">
        <is>
          <t>PD-09.3</t>
        </is>
      </c>
      <c r="C52" s="7" t="inlineStr"/>
      <c r="D52" s="7" t="inlineStr"/>
      <c r="E52" s="7" t="inlineStr">
        <is>
          <t>SoD in system administration</t>
        </is>
      </c>
      <c r="F52" s="7" t="inlineStr">
        <is>
          <t>1. Verify system administration duties separated (DBA vs network vs security).
2. Check no single admin has unrestricted access across domains.
3. Verify SoD matrix enforced in IAM.
4. Review compensating controls where SoD cannot be fully achieved.</t>
        </is>
      </c>
      <c r="G52" s="7" t="inlineStr">
        <is>
          <t>SoD matrix; Admin role definitions; IAM enforcement evidence; Compensating controls documentation</t>
        </is>
      </c>
      <c r="H52" s="7" t="inlineStr">
        <is>
          <t>Inspection</t>
        </is>
      </c>
      <c r="I52" s="7" t="inlineStr"/>
      <c r="J52" s="7" t="inlineStr"/>
      <c r="K52" s="7" t="inlineStr"/>
      <c r="L52" s="7" t="inlineStr"/>
      <c r="M52" s="7" t="inlineStr"/>
      <c r="N52" s="7" t="inlineStr"/>
    </row>
    <row r="53">
      <c r="A53" s="7" t="inlineStr">
        <is>
          <t>App7-D2(c)(iv)</t>
        </is>
      </c>
      <c r="B53" s="7" t="inlineStr">
        <is>
          <t>PD-09.4</t>
        </is>
      </c>
      <c r="C53" s="7" t="inlineStr"/>
      <c r="D53" s="7" t="inlineStr"/>
      <c r="E53" s="7" t="inlineStr">
        <is>
          <t>Monitoring of privileged activities</t>
        </is>
      </c>
      <c r="F53" s="7" t="inlineStr">
        <is>
          <t>1. Verify all privileged activities are logged.
2. Check logs reviewed regularly (at least weekly).
3. Confirm anomalous privileged activities trigger alerts.
4. Verify log integrity (tamper-proof).</t>
        </is>
      </c>
      <c r="G53" s="7" t="inlineStr">
        <is>
          <t>Privileged activity logs; Log review schedule; Alerting rules; Log integrity controls</t>
        </is>
      </c>
      <c r="H53" s="7" t="inlineStr">
        <is>
          <t>Inspection</t>
        </is>
      </c>
      <c r="I53" s="7" t="inlineStr"/>
      <c r="J53" s="7" t="inlineStr"/>
      <c r="K53" s="7" t="inlineStr"/>
      <c r="L53" s="7" t="inlineStr"/>
      <c r="M53" s="7" t="inlineStr"/>
      <c r="N53" s="7" t="inlineStr"/>
    </row>
    <row r="54">
      <c r="A54" s="11" t="inlineStr">
        <is>
          <t>Item 2(d) — Data Integrity</t>
        </is>
      </c>
      <c r="B54" s="12" t="n"/>
      <c r="C54" s="12" t="n"/>
      <c r="D54" s="12" t="n"/>
      <c r="E54" s="12" t="n"/>
      <c r="F54" s="12" t="n"/>
      <c r="G54" s="12" t="n"/>
      <c r="H54" s="12" t="n"/>
      <c r="I54" s="12" t="n"/>
      <c r="J54" s="12" t="n"/>
      <c r="K54" s="12" t="n"/>
      <c r="L54" s="12" t="n"/>
      <c r="M54" s="12" t="n"/>
      <c r="N54" s="12" t="n"/>
    </row>
    <row r="55">
      <c r="A55" s="13" t="inlineStr">
        <is>
          <t>Data integrity controls prevent tampering and ensure confidentiality. Expect E2E encryption, defence-in-depth, pen testing, audit trails. Data integrity failure causes financial loss and regulatory breach.</t>
        </is>
      </c>
      <c r="B55" s="14" t="n"/>
      <c r="C55" s="14" t="n"/>
      <c r="D55" s="14" t="n"/>
      <c r="E55" s="14" t="n"/>
      <c r="F55" s="14" t="n"/>
      <c r="G55" s="14" t="n"/>
      <c r="H55" s="14" t="n"/>
      <c r="I55" s="14" t="n"/>
      <c r="J55" s="14" t="n"/>
      <c r="K55" s="14" t="n"/>
      <c r="L55" s="14" t="n"/>
      <c r="M55" s="14" t="n"/>
      <c r="N55" s="14" t="n"/>
    </row>
    <row r="56">
      <c r="A56" s="15" t="inlineStr">
        <is>
          <t>App7-D2(d)</t>
        </is>
      </c>
      <c r="B56" s="15" t="inlineStr">
        <is>
          <t>PD-10</t>
        </is>
      </c>
      <c r="C56" s="15" t="inlineStr">
        <is>
          <t>ORG</t>
        </is>
      </c>
      <c r="D56" s="15" t="inlineStr">
        <is>
          <t>Data Integrity</t>
        </is>
      </c>
      <c r="E56" s="15" t="inlineStr">
        <is>
          <t>End-to-end encryption, multi-layer security, SPOF avoidance, security assessment, and audit trails</t>
        </is>
      </c>
      <c r="F56" s="15" t="inlineStr"/>
      <c r="G56" s="15" t="inlineStr"/>
      <c r="H56" s="15" t="inlineStr"/>
      <c r="I56" s="15" t="inlineStr"/>
      <c r="J56" s="15" t="inlineStr"/>
      <c r="K56" s="15" t="inlineStr"/>
      <c r="L56" s="15" t="inlineStr"/>
      <c r="M56" s="16" t="inlineStr"/>
      <c r="N56" s="16" t="inlineStr"/>
    </row>
    <row r="57">
      <c r="A57" s="7" t="inlineStr">
        <is>
          <t>App7-D2(d)(i)</t>
        </is>
      </c>
      <c r="B57" s="7" t="inlineStr">
        <is>
          <t>PD-10.1</t>
        </is>
      </c>
      <c r="C57" s="7" t="inlineStr"/>
      <c r="D57" s="7" t="inlineStr"/>
      <c r="E57" s="7" t="inlineStr">
        <is>
          <t>End-to-end encryption and multi-layer security</t>
        </is>
      </c>
      <c r="F57" s="7" t="inlineStr">
        <is>
          <t>1. Verify E2E encryption for external communications.
2. Review multi-layer network security (defence-in-depth).
3. Confirm each layer independently managed.
4. Verify security devices current on firmware/signatures.</t>
        </is>
      </c>
      <c r="G57" s="7" t="inlineStr">
        <is>
          <t>Encryption architecture; Multi-layer security diagram; Security device inventory; Management and monitoring evidence</t>
        </is>
      </c>
      <c r="H57" s="7" t="inlineStr">
        <is>
          <t>Inspection</t>
        </is>
      </c>
      <c r="I57" s="7" t="inlineStr"/>
      <c r="J57" s="7" t="inlineStr"/>
      <c r="K57" s="7" t="inlineStr"/>
      <c r="L57" s="7" t="inlineStr"/>
      <c r="M57" s="7" t="inlineStr"/>
      <c r="N57" s="7" t="inlineStr"/>
    </row>
    <row r="58">
      <c r="A58" s="7" t="inlineStr">
        <is>
          <t>App7-D2(d)(ii)</t>
        </is>
      </c>
      <c r="B58" s="7" t="inlineStr">
        <is>
          <t>PD-10.2</t>
        </is>
      </c>
      <c r="C58" s="7" t="inlineStr"/>
      <c r="D58" s="7" t="inlineStr"/>
      <c r="E58" s="7" t="inlineStr">
        <is>
          <t>Absence of single points of failure</t>
        </is>
      </c>
      <c r="F58" s="7" t="inlineStr">
        <is>
          <t>1. Review network architecture for SPOF.
2. Verify redundancy at each critical layer.
3. Confirm failover tested within 12 months.
4. Check SPOF analysis documented.</t>
        </is>
      </c>
      <c r="G58" s="7" t="inlineStr">
        <is>
          <t>Network architecture with redundancy; SPOF analysis; Failover test results; SPOF review history</t>
        </is>
      </c>
      <c r="H58" s="7" t="inlineStr">
        <is>
          <t>Inspection</t>
        </is>
      </c>
      <c r="I58" s="7" t="inlineStr"/>
      <c r="J58" s="7" t="inlineStr"/>
      <c r="K58" s="7" t="inlineStr"/>
      <c r="L58" s="7" t="inlineStr"/>
      <c r="M58" s="7" t="inlineStr"/>
      <c r="N58" s="7" t="inlineStr"/>
    </row>
    <row r="59">
      <c r="A59" s="7" t="inlineStr">
        <is>
          <t>App7-D2(d)(iii)</t>
        </is>
      </c>
      <c r="B59" s="7" t="inlineStr">
        <is>
          <t>PD-10.3</t>
        </is>
      </c>
      <c r="C59" s="7" t="inlineStr"/>
      <c r="D59" s="7" t="inlineStr"/>
      <c r="E59" s="7" t="inlineStr">
        <is>
          <t>Security assessment and audit trails</t>
        </is>
      </c>
      <c r="F59" s="7" t="inlineStr">
        <is>
          <t>1. Obtain most recent pen test and network security assessment.
2. Verify testing by qualified party within 12 months.
3. Confirm vulnerabilities remediated or risk-accepted.
4. Verify audit trail capabilities.
5. Confirm logs tamper-protected and retained.</t>
        </is>
      </c>
      <c r="G59" s="7" t="inlineStr">
        <is>
          <t>Pen test report; Network security assessment; Audit trail config and sample logs; Log integrity controls</t>
        </is>
      </c>
      <c r="H59" s="7" t="inlineStr">
        <is>
          <t>Inspection</t>
        </is>
      </c>
      <c r="I59" s="7" t="inlineStr"/>
      <c r="J59" s="7" t="inlineStr"/>
      <c r="K59" s="7" t="inlineStr"/>
      <c r="L59" s="7" t="inlineStr"/>
      <c r="M59" s="7" t="inlineStr"/>
      <c r="N59" s="7" t="inlineStr"/>
    </row>
    <row r="60">
      <c r="A60" s="7" t="inlineStr">
        <is>
          <t>App7-D2(d)(iv)</t>
        </is>
      </c>
      <c r="B60" s="7" t="inlineStr">
        <is>
          <t>PD-10.4</t>
        </is>
      </c>
      <c r="C60" s="7" t="inlineStr"/>
      <c r="D60" s="7" t="inlineStr"/>
      <c r="E60" s="7" t="inlineStr">
        <is>
          <t>Data confidentiality and risk-based auth</t>
        </is>
      </c>
      <c r="F60" s="7" t="inlineStr">
        <is>
          <t>1. Verify confidentiality controls (encryption, masking, access controls).
2. Confirm data classification applied.
3. Verify risk-based step-up authentication.
4. Check customers receive timely transaction notifications.</t>
        </is>
      </c>
      <c r="G60" s="7" t="inlineStr">
        <is>
          <t>Data classification scheme; Encryption and masking config; Risk-based auth rules; Customer notification samples</t>
        </is>
      </c>
      <c r="H60" s="7" t="inlineStr">
        <is>
          <t>Inspection</t>
        </is>
      </c>
      <c r="I60" s="7" t="inlineStr"/>
      <c r="J60" s="7" t="inlineStr"/>
      <c r="K60" s="7" t="inlineStr"/>
      <c r="L60" s="7" t="inlineStr"/>
      <c r="M60" s="7" t="inlineStr"/>
      <c r="N60" s="7" t="inlineStr"/>
    </row>
    <row r="61">
      <c r="A61" s="7" t="inlineStr">
        <is>
          <t>App7-D2(d)(v)</t>
        </is>
      </c>
      <c r="B61" s="7" t="inlineStr">
        <is>
          <t>PD-10.5</t>
        </is>
      </c>
      <c r="C61" s="7" t="inlineStr"/>
      <c r="D61" s="7" t="inlineStr"/>
      <c r="E61" s="7" t="inlineStr">
        <is>
          <t>Data at rest protection</t>
        </is>
      </c>
      <c r="F61" s="7" t="inlineStr">
        <is>
          <t>1. Verify encryption at rest for databases, file systems, backups.
2. Check key management (rotation, access controls, HSM).
3. Verify data masking in non-production environments.
4. Confirm data disposal procedures.</t>
        </is>
      </c>
      <c r="G61" s="7" t="inlineStr">
        <is>
          <t>Encryption at rest config; Key management procedures; Data masking evidence; Data disposal procedures</t>
        </is>
      </c>
      <c r="H61" s="7" t="inlineStr">
        <is>
          <t>Inspection</t>
        </is>
      </c>
      <c r="I61" s="7" t="inlineStr"/>
      <c r="J61" s="7" t="inlineStr"/>
      <c r="K61" s="7" t="inlineStr"/>
      <c r="L61" s="7" t="inlineStr"/>
      <c r="M61" s="7" t="inlineStr"/>
      <c r="N61" s="7" t="inlineStr"/>
    </row>
    <row r="62">
      <c r="A62" s="7" t="inlineStr">
        <is>
          <t>App7-D2(d)(vi)</t>
        </is>
      </c>
      <c r="B62" s="7" t="inlineStr">
        <is>
          <t>PD-10.6</t>
        </is>
      </c>
      <c r="C62" s="7" t="inlineStr"/>
      <c r="D62" s="7" t="inlineStr"/>
      <c r="E62" s="7" t="inlineStr">
        <is>
          <t>Integrity monitoring and checksums</t>
        </is>
      </c>
      <c r="F62" s="7" t="inlineStr">
        <is>
          <t>1. Verify file integrity monitoring for critical system files.
2. Check database integrity controls (checksums, referential integrity).
3. Verify integrity checks in data transfer processes.
4. Confirm integrity violations trigger alerts.</t>
        </is>
      </c>
      <c r="G62" s="7" t="inlineStr">
        <is>
          <t>FIM config; Database integrity controls; Data transfer integrity checks; Integrity alert config</t>
        </is>
      </c>
      <c r="H62" s="7" t="inlineStr">
        <is>
          <t>Inspection</t>
        </is>
      </c>
      <c r="I62" s="7" t="inlineStr"/>
      <c r="J62" s="7" t="inlineStr"/>
      <c r="K62" s="7" t="inlineStr"/>
      <c r="L62" s="7" t="inlineStr"/>
      <c r="M62" s="7" t="inlineStr"/>
      <c r="N62" s="7" t="inlineStr"/>
    </row>
    <row r="63">
      <c r="A63" s="7" t="inlineStr">
        <is>
          <t>App7-D2(d)(vii)</t>
        </is>
      </c>
      <c r="B63" s="7" t="inlineStr">
        <is>
          <t>PD-10.7</t>
        </is>
      </c>
      <c r="C63" s="7" t="inlineStr"/>
      <c r="D63" s="7" t="inlineStr"/>
      <c r="E63" s="7" t="inlineStr">
        <is>
          <t>Data loss prevention</t>
        </is>
      </c>
      <c r="F63" s="7" t="inlineStr">
        <is>
          <t>1. Verify DLP controls for sensitive data.
2. Check DLP coverage (email, web, endpoint, cloud).
3. Review DLP policy rules and exceptions.
4. Sample DLP incidents (5 recent) — verify investigation.</t>
        </is>
      </c>
      <c r="G63" s="7" t="inlineStr">
        <is>
          <t>DLP policy and config; DLP coverage matrix; DLP incident samples; Investigation records</t>
        </is>
      </c>
      <c r="H63" s="7" t="inlineStr">
        <is>
          <t>Inspection</t>
        </is>
      </c>
      <c r="I63" s="7" t="inlineStr"/>
      <c r="J63" s="7" t="inlineStr"/>
      <c r="K63" s="7" t="inlineStr"/>
      <c r="L63" s="7" t="inlineStr"/>
      <c r="M63" s="7" t="inlineStr"/>
      <c r="N63" s="7" t="inlineStr"/>
    </row>
    <row r="64">
      <c r="A64" s="7" t="inlineStr">
        <is>
          <t>App7-D2(d)(viii)</t>
        </is>
      </c>
      <c r="B64" s="7" t="inlineStr">
        <is>
          <t>PD-10.8</t>
        </is>
      </c>
      <c r="C64" s="7" t="inlineStr"/>
      <c r="D64" s="7" t="inlineStr"/>
      <c r="E64" s="7" t="inlineStr">
        <is>
          <t>Backup integrity verification</t>
        </is>
      </c>
      <c r="F64" s="7" t="inlineStr">
        <is>
          <t>1. Verify backup integrity checks (checksum verification).
2. Confirm restore testing includes data integrity validation.
3. Check backup encryption and access controls.
4. Verify backup logs and monitoring.</t>
        </is>
      </c>
      <c r="G64" s="7" t="inlineStr">
        <is>
          <t>Backup integrity checks; Restore test with validation; Backup encryption config; Backup monitoring</t>
        </is>
      </c>
      <c r="H64" s="7" t="inlineStr">
        <is>
          <t>Inspection</t>
        </is>
      </c>
      <c r="I64" s="7" t="inlineStr"/>
      <c r="J64" s="7" t="inlineStr"/>
      <c r="K64" s="7" t="inlineStr"/>
      <c r="L64" s="7" t="inlineStr"/>
      <c r="M64" s="7" t="inlineStr"/>
      <c r="N64" s="7" t="inlineStr"/>
    </row>
    <row r="65">
      <c r="A65" s="11" t="inlineStr">
        <is>
          <t>Item 2(e) — Mobile Device Risks</t>
        </is>
      </c>
      <c r="B65" s="12" t="n"/>
      <c r="C65" s="12" t="n"/>
      <c r="D65" s="12" t="n"/>
      <c r="E65" s="12" t="n"/>
      <c r="F65" s="12" t="n"/>
      <c r="G65" s="12" t="n"/>
      <c r="H65" s="12" t="n"/>
      <c r="I65" s="12" t="n"/>
      <c r="J65" s="12" t="n"/>
      <c r="K65" s="12" t="n"/>
      <c r="L65" s="12" t="n"/>
      <c r="M65" s="12" t="n"/>
      <c r="N65" s="12" t="n"/>
    </row>
    <row r="66">
      <c r="A66" s="13" t="inlineStr">
        <is>
          <t>Mobile apps require additional protections due to the untrusted device environment. Expect jailbreak detection, secure storage, certificate pinning, fake app monitoring. Mobile-specific attacks bypass server-side controls.</t>
        </is>
      </c>
      <c r="B66" s="14" t="n"/>
      <c r="C66" s="14" t="n"/>
      <c r="D66" s="14" t="n"/>
      <c r="E66" s="14" t="n"/>
      <c r="F66" s="14" t="n"/>
      <c r="G66" s="14" t="n"/>
      <c r="H66" s="14" t="n"/>
      <c r="I66" s="14" t="n"/>
      <c r="J66" s="14" t="n"/>
      <c r="K66" s="14" t="n"/>
      <c r="L66" s="14" t="n"/>
      <c r="M66" s="14" t="n"/>
      <c r="N66" s="14" t="n"/>
    </row>
    <row r="67">
      <c r="A67" s="15" t="inlineStr">
        <is>
          <t>App7-D2(e)</t>
        </is>
      </c>
      <c r="B67" s="15" t="inlineStr">
        <is>
          <t>PD-11</t>
        </is>
      </c>
      <c r="C67" s="15" t="inlineStr">
        <is>
          <t>WORKLOAD</t>
        </is>
      </c>
      <c r="D67" s="15" t="inlineStr">
        <is>
          <t>Mobile Device Security</t>
        </is>
      </c>
      <c r="E67" s="15" t="inlineStr">
        <is>
          <t>Mobile app security baseline, data protection, transaction controls, and app distribution security</t>
        </is>
      </c>
      <c r="F67" s="15" t="inlineStr"/>
      <c r="G67" s="15" t="inlineStr"/>
      <c r="H67" s="15" t="inlineStr"/>
      <c r="I67" s="15" t="inlineStr"/>
      <c r="J67" s="15" t="inlineStr"/>
      <c r="K67" s="15" t="inlineStr"/>
      <c r="L67" s="15" t="inlineStr"/>
      <c r="M67" s="16" t="inlineStr"/>
      <c r="N67" s="16" t="inlineStr"/>
    </row>
    <row r="68">
      <c r="A68" s="7" t="inlineStr">
        <is>
          <t>App7-D2(e)(i)</t>
        </is>
      </c>
      <c r="B68" s="7" t="inlineStr">
        <is>
          <t>PD-11.1</t>
        </is>
      </c>
      <c r="C68" s="7" t="inlineStr"/>
      <c r="D68" s="7" t="inlineStr"/>
      <c r="E68" s="7" t="inlineStr">
        <is>
          <t>Mobile app security baseline</t>
        </is>
      </c>
      <c r="F68" s="7" t="inlineStr">
        <is>
          <t>1. Confirm minimum OS version enforced and jailbreak/root detection.
2. Review most recent mobile pen test.
3. Verify vulnerabilities remediated.
4. Confirm secure E2E communication (cert pinning, TLS 1.2+).</t>
        </is>
      </c>
      <c r="G68" s="7" t="inlineStr">
        <is>
          <t>OS version enforcement; Jailbreak/root detection; Mobile pen test report; Remediation evidence; Communication security config</t>
        </is>
      </c>
      <c r="H68" s="7" t="inlineStr">
        <is>
          <t>Inspection</t>
        </is>
      </c>
      <c r="I68" s="7" t="inlineStr"/>
      <c r="J68" s="7" t="inlineStr"/>
      <c r="K68" s="7" t="inlineStr"/>
      <c r="L68" s="7" t="inlineStr"/>
      <c r="M68" s="7" t="inlineStr"/>
      <c r="N68" s="7" t="inlineStr"/>
    </row>
    <row r="69">
      <c r="A69" s="7" t="inlineStr">
        <is>
          <t>App7-D2(e)(ii)</t>
        </is>
      </c>
      <c r="B69" s="7" t="inlineStr">
        <is>
          <t>PD-11.2</t>
        </is>
      </c>
      <c r="C69" s="7" t="inlineStr"/>
      <c r="D69" s="7" t="inlineStr"/>
      <c r="E69" s="7" t="inlineStr">
        <is>
          <t>Mobile data protection</t>
        </is>
      </c>
      <c r="F69" s="7" t="inlineStr">
        <is>
          <t>1. Verify sensitive data not stored on device or only in secure enclaves.
2. Confirm cache/logs sanitised.
3. Verify clipboard access restricted.
4. Check remote wipe capability.</t>
        </is>
      </c>
      <c r="G69" s="7" t="inlineStr">
        <is>
          <t>Mobile app security architecture; Data storage review; Secure enclave usage; Remote wipe documentation</t>
        </is>
      </c>
      <c r="H69" s="7" t="inlineStr">
        <is>
          <t>Inspection</t>
        </is>
      </c>
      <c r="I69" s="7" t="inlineStr"/>
      <c r="J69" s="7" t="inlineStr"/>
      <c r="K69" s="7" t="inlineStr"/>
      <c r="L69" s="7" t="inlineStr"/>
      <c r="M69" s="7" t="inlineStr"/>
      <c r="N69" s="7" t="inlineStr"/>
    </row>
    <row r="70">
      <c r="A70" s="7" t="inlineStr">
        <is>
          <t>App7-D2(e)(iii)</t>
        </is>
      </c>
      <c r="B70" s="7" t="inlineStr">
        <is>
          <t>PD-11.3</t>
        </is>
      </c>
      <c r="C70" s="7" t="inlineStr"/>
      <c r="D70" s="7" t="inlineStr"/>
      <c r="E70" s="7" t="inlineStr">
        <is>
          <t>Transaction notification and codes</t>
        </is>
      </c>
      <c r="F70" s="7" t="inlineStr">
        <is>
          <t>1. Verify transaction notifications (push, SMS, email).
2. Verify suspicious transaction alerts.
3. Confirm unique per-transaction codes (TAC, OTP).
4. Verify code expiry (2-5 min) and single-use.</t>
        </is>
      </c>
      <c r="G70" s="7" t="inlineStr">
        <is>
          <t>Transaction notification config; Suspicious alert rules; Code generation mechanism; Code expiry config</t>
        </is>
      </c>
      <c r="H70" s="7" t="inlineStr">
        <is>
          <t>Inspection</t>
        </is>
      </c>
      <c r="I70" s="7" t="inlineStr"/>
      <c r="J70" s="7" t="inlineStr"/>
      <c r="K70" s="7" t="inlineStr"/>
      <c r="L70" s="7" t="inlineStr"/>
      <c r="M70" s="7" t="inlineStr"/>
      <c r="N70" s="7" t="inlineStr"/>
    </row>
    <row r="71">
      <c r="A71" s="7" t="inlineStr">
        <is>
          <t>App7-D2(e)(iv)</t>
        </is>
      </c>
      <c r="B71" s="7" t="inlineStr">
        <is>
          <t>PD-11.4</t>
        </is>
      </c>
      <c r="C71" s="7" t="inlineStr"/>
      <c r="D71" s="7" t="inlineStr"/>
      <c r="E71" s="7" t="inlineStr">
        <is>
          <t>App distribution and fake app monitoring</t>
        </is>
      </c>
      <c r="F71" s="7" t="inlineStr">
        <is>
          <t>1. Verify publishing access controls.
2. Confirm monitoring for fake/fraudulent apps.
3. Verify takedown process exists and exercised.
4. Review fake app incident history.</t>
        </is>
      </c>
      <c r="G71" s="7" t="inlineStr">
        <is>
          <t>Publishing access controls; Fake app monitoring service; Takedown process docs; Fake app incident log</t>
        </is>
      </c>
      <c r="H71" s="7" t="inlineStr">
        <is>
          <t>Inspection</t>
        </is>
      </c>
      <c r="I71" s="7" t="inlineStr"/>
      <c r="J71" s="7" t="inlineStr"/>
      <c r="K71" s="7" t="inlineStr"/>
      <c r="L71" s="7" t="inlineStr"/>
      <c r="M71" s="7" t="inlineStr"/>
      <c r="N71" s="7" t="inlineStr"/>
    </row>
    <row r="72">
      <c r="A72" s="7" t="inlineStr">
        <is>
          <t>App7-D2(e)(v)</t>
        </is>
      </c>
      <c r="B72" s="7" t="inlineStr">
        <is>
          <t>PD-11.5</t>
        </is>
      </c>
      <c r="C72" s="7" t="inlineStr"/>
      <c r="D72" s="7" t="inlineStr"/>
      <c r="E72" s="7" t="inlineStr">
        <is>
          <t>Code obfuscation and anti-tampering</t>
        </is>
      </c>
      <c r="F72" s="7" t="inlineStr">
        <is>
          <t>1. Verify code obfuscation applied to mobile app binaries.
2. Check anti-tampering and anti-debugging protections.
3. Verify integrity checks on app launch.
4. Confirm RASP deployment.</t>
        </is>
      </c>
      <c r="G72" s="7" t="inlineStr">
        <is>
          <t>Obfuscation evidence; Anti-tampering config; Integrity check mechanism; RASP deployment</t>
        </is>
      </c>
      <c r="H72" s="7" t="inlineStr">
        <is>
          <t>Inspection</t>
        </is>
      </c>
      <c r="I72" s="7" t="inlineStr"/>
      <c r="J72" s="7" t="inlineStr"/>
      <c r="K72" s="7" t="inlineStr"/>
      <c r="L72" s="7" t="inlineStr"/>
      <c r="M72" s="7" t="inlineStr"/>
      <c r="N72" s="7" t="inlineStr"/>
    </row>
    <row r="73">
      <c r="A73" s="7" t="inlineStr">
        <is>
          <t>App7-D2(e)(vi)</t>
        </is>
      </c>
      <c r="B73" s="7" t="inlineStr">
        <is>
          <t>PD-11.6</t>
        </is>
      </c>
      <c r="C73" s="7" t="inlineStr"/>
      <c r="D73" s="7" t="inlineStr"/>
      <c r="E73" s="7" t="inlineStr">
        <is>
          <t>Secure SDK and third-party library management</t>
        </is>
      </c>
      <c r="F73" s="7" t="inlineStr">
        <is>
          <t>1. Inventory third-party SDKs and libraries in mobile app.
2. Verify SDKs from trusted sources with known vulnerabilities checked.
3. Check data sharing by SDKs is controlled.
4. Verify library update process.</t>
        </is>
      </c>
      <c r="G73" s="7" t="inlineStr">
        <is>
          <t>SDK/library inventory; Vulnerability assessment; Data sharing controls; Library update procedures</t>
        </is>
      </c>
      <c r="H73" s="7" t="inlineStr">
        <is>
          <t>Inspection</t>
        </is>
      </c>
      <c r="I73" s="7" t="inlineStr"/>
      <c r="J73" s="7" t="inlineStr"/>
      <c r="K73" s="7" t="inlineStr"/>
      <c r="L73" s="7" t="inlineStr"/>
      <c r="M73" s="7" t="inlineStr"/>
      <c r="N73" s="7" t="inlineStr"/>
    </row>
    <row r="74">
      <c r="A74" s="7" t="inlineStr">
        <is>
          <t>App7-D2(e)(vii)</t>
        </is>
      </c>
      <c r="B74" s="7" t="inlineStr">
        <is>
          <t>PD-11.7</t>
        </is>
      </c>
      <c r="C74" s="7" t="inlineStr"/>
      <c r="D74" s="7" t="inlineStr"/>
      <c r="E74" s="7" t="inlineStr">
        <is>
          <t>Biometric authentication on mobile</t>
        </is>
      </c>
      <c r="F74" s="7" t="inlineStr">
        <is>
          <t>1. Verify biometric authentication uses platform secure enclave.
2. Check fallback authentication mechanism.
3. Verify biometric data not stored by the app.
4. Confirm biometric enrollment verification.</t>
        </is>
      </c>
      <c r="G74" s="7" t="inlineStr">
        <is>
          <t>Biometric implementation; Secure enclave usage; Fallback mechanism; Enrollment verification process</t>
        </is>
      </c>
      <c r="H74" s="7" t="inlineStr">
        <is>
          <t>Inspection</t>
        </is>
      </c>
      <c r="I74" s="7" t="inlineStr"/>
      <c r="J74" s="7" t="inlineStr"/>
      <c r="K74" s="7" t="inlineStr"/>
      <c r="L74" s="7" t="inlineStr"/>
      <c r="M74" s="7" t="inlineStr"/>
      <c r="N74" s="7" t="inlineStr"/>
    </row>
    <row r="75">
      <c r="A75" s="7" t="inlineStr">
        <is>
          <t>App7-D2(e)(viii)</t>
        </is>
      </c>
      <c r="B75" s="7" t="inlineStr">
        <is>
          <t>PD-11.8</t>
        </is>
      </c>
      <c r="C75" s="7" t="inlineStr"/>
      <c r="D75" s="7" t="inlineStr"/>
      <c r="E75" s="7" t="inlineStr">
        <is>
          <t>Push notification security</t>
        </is>
      </c>
      <c r="F75" s="7" t="inlineStr">
        <is>
          <t>1. Verify push notifications do not contain sensitive data.
2. Check notification delivery uses secure channels.
3. Verify notification content is generic until authenticated.
4. Confirm user opt-out capability.</t>
        </is>
      </c>
      <c r="G75" s="7" t="inlineStr">
        <is>
          <t>Push notification policy; Notification content review; Delivery channel security; Opt-out mechanism</t>
        </is>
      </c>
      <c r="H75" s="7" t="inlineStr">
        <is>
          <t>Inspection</t>
        </is>
      </c>
      <c r="I75" s="7" t="inlineStr"/>
      <c r="J75" s="7" t="inlineStr"/>
      <c r="K75" s="7" t="inlineStr"/>
      <c r="L75" s="7" t="inlineStr"/>
      <c r="M75" s="7" t="inlineStr"/>
      <c r="N75" s="7" t="inlineStr"/>
    </row>
    <row r="76">
      <c r="A76" s="7" t="inlineStr">
        <is>
          <t>App7-D2(e)(ix)</t>
        </is>
      </c>
      <c r="B76" s="7" t="inlineStr">
        <is>
          <t>PD-11.9</t>
        </is>
      </c>
      <c r="C76" s="7" t="inlineStr"/>
      <c r="D76" s="7" t="inlineStr"/>
      <c r="E76" s="7" t="inlineStr">
        <is>
          <t>Device binding and registration</t>
        </is>
      </c>
      <c r="F76" s="7" t="inlineStr">
        <is>
          <t>1. Verify device binding mechanism.
2. Check device registration process requires authentication.
3. Verify device change triggers step-up verification.
4. Confirm maximum device limits enforced.</t>
        </is>
      </c>
      <c r="G76" s="7" t="inlineStr">
        <is>
          <t>Device binding mechanism; Registration flow; Device change alerts; Device limit config</t>
        </is>
      </c>
      <c r="H76" s="7" t="inlineStr">
        <is>
          <t>Inspection</t>
        </is>
      </c>
      <c r="I76" s="7" t="inlineStr"/>
      <c r="J76" s="7" t="inlineStr"/>
      <c r="K76" s="7" t="inlineStr"/>
      <c r="L76" s="7" t="inlineStr"/>
      <c r="M76" s="7" t="inlineStr"/>
      <c r="N76" s="7" t="inlineStr"/>
    </row>
    <row r="77">
      <c r="A77" s="7" t="inlineStr">
        <is>
          <t>App7-D2(e)(x)</t>
        </is>
      </c>
      <c r="B77" s="7" t="inlineStr">
        <is>
          <t>PD-11.10</t>
        </is>
      </c>
      <c r="C77" s="7" t="inlineStr"/>
      <c r="D77" s="7" t="inlineStr"/>
      <c r="E77" s="7" t="inlineStr">
        <is>
          <t>Secure communication channel</t>
        </is>
      </c>
      <c r="F77" s="7" t="inlineStr">
        <is>
          <t>1. Verify certificate pinning implemented.
2. Check for SSL/TLS downgrade protection.
3. Verify proxy detection.
4. Confirm mutual TLS where applicable.</t>
        </is>
      </c>
      <c r="G77" s="7" t="inlineStr">
        <is>
          <t>Certificate pinning config; Downgrade protection; Proxy detection mechanism; mTLS config</t>
        </is>
      </c>
      <c r="H77" s="7" t="inlineStr">
        <is>
          <t>Inspection</t>
        </is>
      </c>
      <c r="I77" s="7" t="inlineStr"/>
      <c r="J77" s="7" t="inlineStr"/>
      <c r="K77" s="7" t="inlineStr"/>
      <c r="L77" s="7" t="inlineStr"/>
      <c r="M77" s="7" t="inlineStr"/>
      <c r="N77" s="7" t="inlineStr"/>
    </row>
    <row r="78">
      <c r="A78" s="7" t="inlineStr">
        <is>
          <t>App7-D2(e)(xi)</t>
        </is>
      </c>
      <c r="B78" s="7" t="inlineStr">
        <is>
          <t>PD-11.11</t>
        </is>
      </c>
      <c r="C78" s="7" t="inlineStr"/>
      <c r="D78" s="7" t="inlineStr"/>
      <c r="E78" s="7" t="inlineStr">
        <is>
          <t>Mobile app update and versioning</t>
        </is>
      </c>
      <c r="F78" s="7" t="inlineStr">
        <is>
          <t>1. Verify forced update mechanism for critical security patches.
2. Check minimum supported app version policy.
3. Verify graceful degradation for unsupported versions.
4. Confirm update notification to users.</t>
        </is>
      </c>
      <c r="G78" s="7" t="inlineStr">
        <is>
          <t>Forced update mechanism; Minimum version policy; Degradation handling; Update notification config</t>
        </is>
      </c>
      <c r="H78" s="7" t="inlineStr">
        <is>
          <t>Inspection</t>
        </is>
      </c>
      <c r="I78" s="7" t="inlineStr"/>
      <c r="J78" s="7" t="inlineStr"/>
      <c r="K78" s="7" t="inlineStr"/>
      <c r="L78" s="7" t="inlineStr"/>
      <c r="M78" s="7" t="inlineStr"/>
      <c r="N78" s="7" t="inlineStr"/>
    </row>
  </sheetData>
  <mergeCells count="22">
    <mergeCell ref="A40:N40"/>
    <mergeCell ref="A48:N48"/>
    <mergeCell ref="A54:N54"/>
    <mergeCell ref="A7:N7"/>
    <mergeCell ref="A65:N65"/>
    <mergeCell ref="A41:N41"/>
    <mergeCell ref="A66:N66"/>
    <mergeCell ref="A18:N18"/>
    <mergeCell ref="A27:N27"/>
    <mergeCell ref="A3:N3"/>
    <mergeCell ref="A55:N55"/>
    <mergeCell ref="A12:N12"/>
    <mergeCell ref="A26:N26"/>
    <mergeCell ref="A21:N21"/>
    <mergeCell ref="A2:N2"/>
    <mergeCell ref="A33:N33"/>
    <mergeCell ref="A47:N47"/>
    <mergeCell ref="A32:N32"/>
    <mergeCell ref="A17:N17"/>
    <mergeCell ref="A8:N8"/>
    <mergeCell ref="A22:N22"/>
    <mergeCell ref="A13:N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8" t="inlineStr">
        <is>
          <t>Step</t>
        </is>
      </c>
      <c r="B3" s="8" t="inlineStr">
        <is>
          <t>Activity</t>
        </is>
      </c>
      <c r="C3" s="8" t="inlineStr">
        <is>
          <t>Responsible</t>
        </is>
      </c>
      <c r="D3" s="8" t="inlineStr">
        <is>
          <t>Status</t>
        </is>
      </c>
      <c r="E3" s="8" t="inlineStr">
        <is>
          <t>Notes</t>
        </is>
      </c>
    </row>
    <row r="4">
      <c r="A4" s="7" t="inlineStr">
        <is>
          <t>R-01</t>
        </is>
      </c>
      <c r="B4" s="7" t="inlineStr">
        <is>
          <t>Consolidate all test results — compile conclusions from all domain rows across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8" t="inlineStr">
        <is>
          <t>#</t>
        </is>
      </c>
      <c r="B4" s="8" t="inlineStr">
        <is>
          <t>Requirement</t>
        </is>
      </c>
      <c r="C4" s="8" t="inlineStr">
        <is>
          <t>Assessment Criteria</t>
        </is>
      </c>
      <c r="D4" s="8" t="inlineStr">
        <is>
          <t>Evidence / Justification</t>
        </is>
      </c>
      <c r="E4" s="8" t="inlineStr">
        <is>
          <t>Compliant?</t>
        </is>
      </c>
      <c r="F4" s="8"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17" t="inlineStr">
        <is>
          <t>Conclusions are at the DOMAIN level only (Ref pattern: XX-NN without a dot). Sub-item rows (XX-NN.N) have observations but no conclusion.</t>
        </is>
      </c>
    </row>
    <row r="5">
      <c r="A5" s="2" t="inlineStr">
        <is>
          <t>OVERALL SUMMARY</t>
        </is>
      </c>
    </row>
    <row r="6">
      <c r="A6" s="8" t="inlineStr">
        <is>
          <t>Metric</t>
        </is>
      </c>
      <c r="B6" s="8" t="inlineStr">
        <is>
          <t>Value</t>
        </is>
      </c>
    </row>
    <row r="7">
      <c r="A7" s="6" t="inlineStr">
        <is>
          <t>Total Compliant</t>
        </is>
      </c>
      <c r="B7" s="18">
        <f>SUM(B21:B22)</f>
        <v/>
      </c>
    </row>
    <row r="8">
      <c r="A8" s="6" t="inlineStr">
        <is>
          <t>Total Partially Compliant</t>
        </is>
      </c>
      <c r="B8" s="19">
        <f>SUM(C21:C22)</f>
        <v/>
      </c>
    </row>
    <row r="9">
      <c r="A9" s="6" t="inlineStr">
        <is>
          <t>Total Non-Compliant</t>
        </is>
      </c>
      <c r="B9" s="20">
        <f>SUM(D21:D22)</f>
        <v/>
      </c>
    </row>
    <row r="10">
      <c r="A10" s="6" t="inlineStr">
        <is>
          <t>Total N/A</t>
        </is>
      </c>
      <c r="B10" s="21">
        <f>SUM(E21:E22)</f>
        <v/>
      </c>
    </row>
    <row r="11">
      <c r="A11" s="6" t="inlineStr">
        <is>
          <t>Total Not Assessed</t>
        </is>
      </c>
      <c r="B11" s="9">
        <f>SUM(F21:F22)</f>
        <v/>
      </c>
    </row>
    <row r="12">
      <c r="A12" s="6" t="inlineStr">
        <is>
          <t>Total Control Domains</t>
        </is>
      </c>
      <c r="B12" s="9">
        <f>SUM(G21:G22)</f>
        <v/>
      </c>
    </row>
    <row r="13">
      <c r="A13" s="6" t="inlineStr">
        <is>
          <t>Overall Compliance %</t>
        </is>
      </c>
      <c r="B13" s="22">
        <f>IF((B12-B10-B11)=0,"—",B7/(B12-B10-B11))</f>
        <v/>
      </c>
    </row>
    <row r="15">
      <c r="A15" s="2" t="inlineStr">
        <is>
          <t>PART C OPINION INDICATOR</t>
        </is>
      </c>
    </row>
    <row r="16">
      <c r="A16" s="6" t="inlineStr">
        <is>
          <t>Opinion Type</t>
        </is>
      </c>
      <c r="B16" s="14">
        <f>IF(B9&gt;5,"Type C (Adverse)",IF(B9&gt;0,"Type B (With Exceptions)",IF(B8&lt;=3,"Type A (Clean)","Type B (With Exceptions)")))</f>
        <v/>
      </c>
    </row>
    <row r="17">
      <c r="A17" s="23" t="inlineStr">
        <is>
          <t>Criteria:</t>
        </is>
      </c>
      <c r="B17" s="13" t="inlineStr">
        <is>
          <t>Type A (Clean): NC=0 and PC&lt;=3  |  Type B (With Exceptions): NC&gt;0 and NC&lt;=5  |  Type C (Adverse): NC&gt;5</t>
        </is>
      </c>
    </row>
    <row r="19">
      <c r="A19" s="2" t="inlineStr">
        <is>
          <t>PER-SHEET BREAKDOWN</t>
        </is>
      </c>
    </row>
    <row r="20">
      <c r="A20" s="10" t="inlineStr">
        <is>
          <t>Sheet</t>
        </is>
      </c>
      <c r="B20" s="10" t="inlineStr">
        <is>
          <t>Compliant</t>
        </is>
      </c>
      <c r="C20" s="10" t="inlineStr">
        <is>
          <t>Partially Compliant</t>
        </is>
      </c>
      <c r="D20" s="10" t="inlineStr">
        <is>
          <t>Non-Compliant</t>
        </is>
      </c>
      <c r="E20" s="10" t="inlineStr">
        <is>
          <t>N/A</t>
        </is>
      </c>
      <c r="F20" s="10" t="inlineStr">
        <is>
          <t>Not Assessed</t>
        </is>
      </c>
      <c r="G20" s="10" t="inlineStr">
        <is>
          <t>Total Domains</t>
        </is>
      </c>
      <c r="H20" s="10" t="inlineStr">
        <is>
          <t>Compliance %</t>
        </is>
      </c>
    </row>
    <row r="21">
      <c r="A21" s="6" t="inlineStr">
        <is>
          <t>NRA Assessment</t>
        </is>
      </c>
      <c r="B21" s="18">
        <f>COUNTIF('NRA Assessment'!M:M,"Compliant")</f>
        <v/>
      </c>
      <c r="C21" s="19">
        <f>COUNTIF('NRA Assessment'!M:M,"Partially Compliant")</f>
        <v/>
      </c>
      <c r="D21" s="20">
        <f>COUNTIF('NRA Assessment'!M:M,"Non-Compliant")</f>
        <v/>
      </c>
      <c r="E21" s="21">
        <f>COUNTIF('NRA Assessment'!M:M,"N/A")</f>
        <v/>
      </c>
      <c r="F21" s="9">
        <f>COUNTIFS('NRA Assessment'!B:B,"&lt;&gt;",'NRA Assessment'!C:C,"&lt;&gt;",'NRA Assessment'!M:M,"=")-COUNTIF('NRA Assessment'!B:B,"Ref")</f>
        <v/>
      </c>
      <c r="G21" s="9">
        <f>COUNTIFS('NRA Assessment'!B:B,"&lt;&gt;",'NRA Assessment'!C:C,"&lt;&gt;")-COUNTIF('NRA Assessment'!B:B,"Ref")</f>
        <v/>
      </c>
      <c r="H21" s="22">
        <f>IF((G21-E21-F21)=0,"—",B21/(G21-E21-F21))</f>
        <v/>
      </c>
    </row>
    <row r="22">
      <c r="A22" s="6" t="inlineStr">
        <is>
          <t>Appendix 7 Part D</t>
        </is>
      </c>
      <c r="B22" s="18">
        <f>COUNTIF('Appendix 7 Part D'!M:M,"Compliant")</f>
        <v/>
      </c>
      <c r="C22" s="19">
        <f>COUNTIF('Appendix 7 Part D'!M:M,"Partially Compliant")</f>
        <v/>
      </c>
      <c r="D22" s="20">
        <f>COUNTIF('Appendix 7 Part D'!M:M,"Non-Compliant")</f>
        <v/>
      </c>
      <c r="E22" s="21">
        <f>COUNTIF('Appendix 7 Part D'!M:M,"N/A")</f>
        <v/>
      </c>
      <c r="F22" s="9">
        <f>COUNTIFS('Appendix 7 Part D'!B:B,"&lt;&gt;",'Appendix 7 Part D'!C:C,"&lt;&gt;",'Appendix 7 Part D'!M:M,"=")-COUNTIF('Appendix 7 Part D'!B:B,"Ref")</f>
        <v/>
      </c>
      <c r="G22" s="9">
        <f>COUNTIFS('Appendix 7 Part D'!B:B,"&lt;&gt;",'Appendix 7 Part D'!C:C,"&lt;&gt;")-COUNTIF('Appendix 7 Part D'!B:B,"Ref")</f>
        <v/>
      </c>
      <c r="H22" s="22">
        <f>IF((G22-E22-F22)=0,"—",B22/(G22-E22-F22))</f>
        <v/>
      </c>
    </row>
    <row r="25">
      <c r="A25" s="2" t="inlineStr">
        <is>
          <t>LEVEL BREAKDOWN</t>
        </is>
      </c>
    </row>
    <row r="26">
      <c r="A26" s="10" t="inlineStr">
        <is>
          <t>Level</t>
        </is>
      </c>
      <c r="B26" s="10" t="inlineStr">
        <is>
          <t>Compliant</t>
        </is>
      </c>
      <c r="C26" s="10" t="inlineStr">
        <is>
          <t>Partially Compliant</t>
        </is>
      </c>
      <c r="D26" s="10" t="inlineStr">
        <is>
          <t>Non-Compliant</t>
        </is>
      </c>
      <c r="E26" s="10" t="inlineStr">
        <is>
          <t>N/A</t>
        </is>
      </c>
      <c r="F26" s="10" t="inlineStr">
        <is>
          <t>Not Assessed</t>
        </is>
      </c>
      <c r="G26" s="10" t="inlineStr">
        <is>
          <t>Total</t>
        </is>
      </c>
      <c r="H26" s="10" t="inlineStr"/>
    </row>
    <row r="27">
      <c r="A27" s="6" t="inlineStr">
        <is>
          <t>ORG</t>
        </is>
      </c>
      <c r="B27" s="18">
        <f>COUNTIFS('NRA Assessment'!C:C,"ORG",'NRA Assessment'!M:M,"Compliant")+COUNTIFS('Appendix 7 Part D'!C:C,"ORG",'Appendix 7 Part D'!M:M,"Compliant")</f>
        <v/>
      </c>
      <c r="C27" s="19">
        <f>COUNTIFS('NRA Assessment'!C:C,"ORG",'NRA Assessment'!M:M,"Partially Compliant")+COUNTIFS('Appendix 7 Part D'!C:C,"ORG",'Appendix 7 Part D'!M:M,"Partially Compliant")</f>
        <v/>
      </c>
      <c r="D27" s="20">
        <f>COUNTIFS('NRA Assessment'!C:C,"ORG",'NRA Assessment'!M:M,"Non-Compliant")+COUNTIFS('Appendix 7 Part D'!C:C,"ORG",'Appendix 7 Part D'!M:M,"Non-Compliant")</f>
        <v/>
      </c>
      <c r="E27" s="21">
        <f>COUNTIFS('NRA Assessment'!C:C,"ORG",'NRA Assessment'!M:M,"N/A")+COUNTIFS('Appendix 7 Part D'!C:C,"ORG",'Appendix 7 Part D'!M:M,"N/A")</f>
        <v/>
      </c>
      <c r="F27" s="9">
        <f>COUNTIFS('NRA Assessment'!C:C,"ORG",'NRA Assessment'!M:M,"=")+COUNTIFS('Appendix 7 Part D'!C:C,"ORG",'Appendix 7 Part D'!M:M,"=")</f>
        <v/>
      </c>
      <c r="G27" s="9">
        <f>SUM(B27:F27)</f>
        <v/>
      </c>
    </row>
    <row r="28">
      <c r="A28" s="6" t="inlineStr">
        <is>
          <t>PLATFORM</t>
        </is>
      </c>
      <c r="B28" s="18">
        <f>COUNTIFS('NRA Assessment'!C:C,"PLATFORM",'NRA Assessment'!M:M,"Compliant")+COUNTIFS('Appendix 7 Part D'!C:C,"PLATFORM",'Appendix 7 Part D'!M:M,"Compliant")</f>
        <v/>
      </c>
      <c r="C28" s="19">
        <f>COUNTIFS('NRA Assessment'!C:C,"PLATFORM",'NRA Assessment'!M:M,"Partially Compliant")+COUNTIFS('Appendix 7 Part D'!C:C,"PLATFORM",'Appendix 7 Part D'!M:M,"Partially Compliant")</f>
        <v/>
      </c>
      <c r="D28" s="20">
        <f>COUNTIFS('NRA Assessment'!C:C,"PLATFORM",'NRA Assessment'!M:M,"Non-Compliant")+COUNTIFS('Appendix 7 Part D'!C:C,"PLATFORM",'Appendix 7 Part D'!M:M,"Non-Compliant")</f>
        <v/>
      </c>
      <c r="E28" s="21">
        <f>COUNTIFS('NRA Assessment'!C:C,"PLATFORM",'NRA Assessment'!M:M,"N/A")+COUNTIFS('Appendix 7 Part D'!C:C,"PLATFORM",'Appendix 7 Part D'!M:M,"N/A")</f>
        <v/>
      </c>
      <c r="F28" s="9">
        <f>COUNTIFS('NRA Assessment'!C:C,"PLATFORM",'NRA Assessment'!M:M,"=")+COUNTIFS('Appendix 7 Part D'!C:C,"PLATFORM",'Appendix 7 Part D'!M:M,"=")</f>
        <v/>
      </c>
      <c r="G28" s="9">
        <f>SUM(B28:F28)</f>
        <v/>
      </c>
    </row>
    <row r="29">
      <c r="A29" s="6" t="inlineStr">
        <is>
          <t>WORKLOAD</t>
        </is>
      </c>
      <c r="B29" s="18">
        <f>COUNTIFS('NRA Assessment'!C:C,"WORKLOAD",'NRA Assessment'!M:M,"Compliant")+COUNTIFS('Appendix 7 Part D'!C:C,"WORKLOAD",'Appendix 7 Part D'!M:M,"Compliant")</f>
        <v/>
      </c>
      <c r="C29" s="19">
        <f>COUNTIFS('NRA Assessment'!C:C,"WORKLOAD",'NRA Assessment'!M:M,"Partially Compliant")+COUNTIFS('Appendix 7 Part D'!C:C,"WORKLOAD",'Appendix 7 Part D'!M:M,"Partially Compliant")</f>
        <v/>
      </c>
      <c r="D29" s="20">
        <f>COUNTIFS('NRA Assessment'!C:C,"WORKLOAD",'NRA Assessment'!M:M,"Non-Compliant")+COUNTIFS('Appendix 7 Part D'!C:C,"WORKLOAD",'Appendix 7 Part D'!M:M,"Non-Compliant")</f>
        <v/>
      </c>
      <c r="E29" s="21">
        <f>COUNTIFS('NRA Assessment'!C:C,"WORKLOAD",'NRA Assessment'!M:M,"N/A")+COUNTIFS('Appendix 7 Part D'!C:C,"WORKLOAD",'Appendix 7 Part D'!M:M,"N/A")</f>
        <v/>
      </c>
      <c r="F29" s="9">
        <f>COUNTIFS('NRA Assessment'!C:C,"WORKLOAD",'NRA Assessment'!M:M,"=")+COUNTIFS('Appendix 7 Part D'!C:C,"WORKLOAD",'Appendix 7 Part D'!M:M,"=")</f>
        <v/>
      </c>
      <c r="G29" s="9">
        <f>SUM(B29:F29)</f>
        <v/>
      </c>
    </row>
  </sheetData>
  <mergeCells count="7">
    <mergeCell ref="A1:H1"/>
    <mergeCell ref="A3:H3"/>
    <mergeCell ref="B17:H17"/>
    <mergeCell ref="A15:B15"/>
    <mergeCell ref="A25:H25"/>
    <mergeCell ref="A19:H1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2026-03-31T16:19:09Z</dcterms:created>
  <dcterms:modified xmlns:dcterms="http://purl.org/dc/terms/" xmlns:xsi="http://www.w3.org/2001/XMLSchema-instance" xsi:type="dcterms:W3CDTF">2026-03-31T16:19:09Z</dcterms:modified>
</cp:coreProperties>
</file>