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hodology &amp; Approach" sheetId="1" state="visible" r:id="rId1"/>
    <sheet xmlns:r="http://schemas.openxmlformats.org/officeDocument/2006/relationships" name="Scoping" sheetId="2" state="visible" r:id="rId2"/>
    <sheet xmlns:r="http://schemas.openxmlformats.org/officeDocument/2006/relationships" name="Planning" sheetId="3" state="visible" r:id="rId3"/>
    <sheet xmlns:r="http://schemas.openxmlformats.org/officeDocument/2006/relationships" name="NRA Assessment" sheetId="4" state="visible" r:id="rId4"/>
    <sheet xmlns:r="http://schemas.openxmlformats.org/officeDocument/2006/relationships" name="Appendix 7 Part D" sheetId="5" state="visible" r:id="rId5"/>
    <sheet xmlns:r="http://schemas.openxmlformats.org/officeDocument/2006/relationships" name="Reporting &amp; Attestation" sheetId="6" state="visible" r:id="rId6"/>
    <sheet xmlns:r="http://schemas.openxmlformats.org/officeDocument/2006/relationships" name="Part C Self-Assessment" sheetId="7" state="visible" r:id="rId7"/>
    <sheet xmlns:r="http://schemas.openxmlformats.org/officeDocument/2006/relationships" name="Scoring Dashboard"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libri"/>
      <b val="1"/>
      <color rgb="002F5496"/>
      <sz val="14"/>
    </font>
    <font>
      <name val="Calibri"/>
      <b val="1"/>
      <color rgb="002F5496"/>
      <sz val="12"/>
    </font>
    <font>
      <name val="Calibri"/>
      <b val="1"/>
      <sz val="10"/>
    </font>
    <font>
      <name val="Calibri"/>
      <sz val="10"/>
    </font>
    <font>
      <name val="Calibri"/>
      <b val="1"/>
      <color rgb="00FFFFFF"/>
      <sz val="11"/>
    </font>
    <font>
      <name val="Calibri"/>
      <b val="1"/>
      <color rgb="002F5496"/>
      <sz val="11"/>
    </font>
    <font>
      <name val="Calibri"/>
      <i val="1"/>
      <sz val="10"/>
    </font>
  </fonts>
  <fills count="8">
    <fill>
      <patternFill/>
    </fill>
    <fill>
      <patternFill patternType="gray125"/>
    </fill>
    <fill>
      <patternFill patternType="solid">
        <fgColor rgb="002F5496"/>
        <bgColor rgb="002F5496"/>
      </patternFill>
    </fill>
    <fill>
      <patternFill patternType="solid">
        <fgColor rgb="00D6E4F0"/>
        <bgColor rgb="00D6E4F0"/>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D9D9D9"/>
        <bgColor rgb="00D9D9D9"/>
      </patternFill>
    </fill>
  </fills>
  <borders count="2">
    <border>
      <left/>
      <right/>
      <top/>
      <bottom/>
      <diagonal/>
    </border>
    <border>
      <left style="thin"/>
      <right style="thin"/>
      <top style="thin"/>
      <bottom style="thin"/>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3" fillId="0" borderId="1" pivotButton="0" quotePrefix="0" xfId="0"/>
    <xf numFmtId="0" fontId="4" fillId="0" borderId="1" applyAlignment="1" pivotButton="0" quotePrefix="0" xfId="0">
      <alignment vertical="top" wrapText="1"/>
    </xf>
    <xf numFmtId="0" fontId="5" fillId="2" borderId="1" pivotButton="0" quotePrefix="0" xfId="0"/>
    <xf numFmtId="0" fontId="4" fillId="0" borderId="1" pivotButton="0" quotePrefix="0" xfId="0"/>
    <xf numFmtId="0" fontId="5" fillId="2" borderId="1" applyAlignment="1" pivotButton="0" quotePrefix="0" xfId="0">
      <alignment horizontal="center" vertical="top" wrapText="1"/>
    </xf>
    <xf numFmtId="0" fontId="6" fillId="3" borderId="1" pivotButton="0" quotePrefix="0" xfId="0"/>
    <xf numFmtId="0" fontId="0" fillId="3" borderId="1" pivotButton="0" quotePrefix="0" xfId="0"/>
    <xf numFmtId="0" fontId="7" fillId="0" borderId="1" applyAlignment="1" pivotButton="0" quotePrefix="0" xfId="0">
      <alignment vertical="top" wrapText="1"/>
    </xf>
    <xf numFmtId="0" fontId="0"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4" fillId="7" borderId="1" pivotButton="0" quotePrefix="0" xfId="0"/>
    <xf numFmtId="164" fontId="4" fillId="0"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cols>
    <col width="25" customWidth="1" min="1" max="1"/>
    <col width="6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c r="A1" s="1" t="inlineStr">
        <is>
          <t>INDEPENDENT ASSESSMENT — METHODOLOGY &amp; APPROACH</t>
        </is>
      </c>
    </row>
    <row r="2">
      <c r="A2" s="2" t="inlineStr">
        <is>
          <t>BNM RMiT IESP — Network Resilience Assessment (NRA)</t>
        </is>
      </c>
    </row>
    <row r="4">
      <c r="A4" s="2" t="inlineStr">
        <is>
          <t>ENGAGEMENT DETAILS</t>
        </is>
      </c>
    </row>
    <row r="5">
      <c r="A5" s="3" t="inlineStr">
        <is>
          <t>Entity Name:</t>
        </is>
      </c>
      <c r="B5" s="4" t="inlineStr">
        <is>
          <t>[Entity Name]</t>
        </is>
      </c>
    </row>
    <row r="6">
      <c r="A6" s="3" t="inlineStr">
        <is>
          <t>Engagement Type:</t>
        </is>
      </c>
      <c r="B6" s="4" t="inlineStr">
        <is>
          <t>Network Resilience Assessment (NRA)</t>
        </is>
      </c>
    </row>
    <row r="7">
      <c r="A7" s="3" t="inlineStr">
        <is>
          <t>Regulatory Basis:</t>
        </is>
      </c>
      <c r="B7" s="4" t="inlineStr">
        <is>
          <t>Paragraph 14.2, mapped to paragraphs 10.36 to 10.43</t>
        </is>
      </c>
    </row>
    <row r="8">
      <c r="A8" s="3" t="inlineStr">
        <is>
          <t>Assessment Date:</t>
        </is>
      </c>
      <c r="B8" s="4" t="inlineStr">
        <is>
          <t>[DD/MM/YYYY]</t>
        </is>
      </c>
    </row>
    <row r="9">
      <c r="A9" s="3" t="inlineStr">
        <is>
          <t>Assessment Period:</t>
        </is>
      </c>
      <c r="B9" s="4" t="inlineStr">
        <is>
          <t>[Start Date] to [End Date]</t>
        </is>
      </c>
    </row>
    <row r="10">
      <c r="A10" s="3" t="inlineStr">
        <is>
          <t>Lead Assessor:</t>
        </is>
      </c>
      <c r="B10" s="4" t="inlineStr">
        <is>
          <t>[Name, Qualification]</t>
        </is>
      </c>
    </row>
    <row r="11">
      <c r="A11" s="3" t="inlineStr">
        <is>
          <t>Engagement Reference:</t>
        </is>
      </c>
      <c r="B11" s="4" t="inlineStr">
        <is>
          <t>[Ref Number]</t>
        </is>
      </c>
    </row>
    <row r="12">
      <c r="A12" s="3" t="inlineStr">
        <is>
          <t>Report Classification:</t>
        </is>
      </c>
      <c r="B12" s="4" t="inlineStr">
        <is>
          <t>Confidential (Sulit)</t>
        </is>
      </c>
    </row>
    <row r="14">
      <c r="A14" s="2" t="inlineStr">
        <is>
          <t>SCOPE OF ASSESSMENT</t>
        </is>
      </c>
    </row>
    <row r="15">
      <c r="A15" s="5" t="inlineStr">
        <is>
          <t>This assessment is conducted pursuant to BNM RMiT (BNM/RH/PD 028-98, 28 Nov 2025), Paragraph 14.2.</t>
        </is>
      </c>
    </row>
    <row r="16">
      <c r="A16" s="5" t="inlineStr">
        <is>
          <t>Assessment covers: (1) NRA — network design, resilience, monitoring, security, segmentation (10.36-10.43), (2) Appendix 7 Part D — Minimum Controls.</t>
        </is>
      </c>
    </row>
    <row r="18">
      <c r="A18" s="2" t="inlineStr">
        <is>
          <t>ENGAGEMENT MODE</t>
        </is>
      </c>
    </row>
    <row r="19">
      <c r="A19" s="3" t="inlineStr">
        <is>
          <t>Design Adequacy (Pre-Implementation):</t>
        </is>
      </c>
    </row>
    <row r="20">
      <c r="A20" s="5" t="inlineStr">
        <is>
          <t>Assess whether proposed/planned controls are designed to meet the requirement. Evidence is primarily documentary: architecture designs, policies, vendor assessments, staging test results.</t>
        </is>
      </c>
    </row>
    <row r="21">
      <c r="A21" s="3" t="inlineStr">
        <is>
          <t>Operating Effectiveness (Independent Attestation):</t>
        </is>
      </c>
    </row>
    <row r="22">
      <c r="A22" s="5" t="inlineStr">
        <is>
          <t>Assess whether controls operated effectively during the assessment period. Evidence is observation, sampling, re-performance, system-generated logs. Requires defined sampling methodology.</t>
        </is>
      </c>
    </row>
    <row r="24">
      <c r="A24" s="2" t="inlineStr">
        <is>
          <t>ASSESSMENT LEVELS</t>
        </is>
      </c>
    </row>
    <row r="25">
      <c r="A25" s="3" t="inlineStr">
        <is>
          <t>ORG</t>
        </is>
      </c>
      <c r="B25" s="5" t="inlineStr">
        <is>
          <t>Organisation-level. Assessed once per engagement (policies, governance, frameworks).</t>
        </is>
      </c>
    </row>
    <row r="26">
      <c r="A26" s="3" t="inlineStr">
        <is>
          <t>PLATFORM</t>
        </is>
      </c>
      <c r="B26" s="5" t="inlineStr">
        <is>
          <t>Platform/CSP-level. Assessed per platform in scope (configurations, controls per CSP).</t>
        </is>
      </c>
    </row>
    <row r="27">
      <c r="A27" s="3" t="inlineStr">
        <is>
          <t>WORKLOAD</t>
        </is>
      </c>
      <c r="B27" s="5" t="inlineStr">
        <is>
          <t>System/application-level. Assessed per critical system using sampling.</t>
        </is>
      </c>
    </row>
    <row r="29">
      <c r="A29" s="2" t="inlineStr">
        <is>
          <t>ASSESSMENT METHODS</t>
        </is>
      </c>
    </row>
    <row r="30">
      <c r="A30" s="3" t="inlineStr">
        <is>
          <t>Inspection</t>
        </is>
      </c>
      <c r="B30" s="5" t="inlineStr">
        <is>
          <t>Examination of documents, records, policies, configurations, and tangible evidence.</t>
        </is>
      </c>
    </row>
    <row r="31">
      <c r="A31" s="3" t="inlineStr">
        <is>
          <t>Inquiry</t>
        </is>
      </c>
      <c r="B31" s="5" t="inlineStr">
        <is>
          <t>Interviews with management, process owners, and staff.</t>
        </is>
      </c>
    </row>
    <row r="32">
      <c r="A32" s="3" t="inlineStr">
        <is>
          <t>Observation</t>
        </is>
      </c>
      <c r="B32" s="5" t="inlineStr">
        <is>
          <t>Direct observation of processes, systems, and activities.</t>
        </is>
      </c>
    </row>
    <row r="33">
      <c r="A33" s="3" t="inlineStr">
        <is>
          <t>Confirmation</t>
        </is>
      </c>
      <c r="B33" s="5" t="inlineStr">
        <is>
          <t>Verification with external or independent parties.</t>
        </is>
      </c>
    </row>
    <row r="34">
      <c r="A34" s="3" t="inlineStr">
        <is>
          <t>Re-performance</t>
        </is>
      </c>
      <c r="B34" s="5" t="inlineStr">
        <is>
          <t>IESP independently re-performs the control procedure.</t>
        </is>
      </c>
    </row>
    <row r="36">
      <c r="A36" s="2" t="inlineStr">
        <is>
          <t>CONCLUSION SCALE</t>
        </is>
      </c>
    </row>
    <row r="37">
      <c r="A37" s="3" t="inlineStr">
        <is>
          <t>Compliant</t>
        </is>
      </c>
      <c r="B37" s="5" t="inlineStr">
        <is>
          <t>Control fully implemented and operating effectively. Evidence supports regulatory criteria are met.</t>
        </is>
      </c>
    </row>
    <row r="38">
      <c r="A38" s="3" t="inlineStr">
        <is>
          <t>Partially Compliant</t>
        </is>
      </c>
      <c r="B38" s="5" t="inlineStr">
        <is>
          <t>Implemented but with gaps in scope, coverage, documentation, or effectiveness.</t>
        </is>
      </c>
    </row>
    <row r="39">
      <c r="A39" s="3" t="inlineStr">
        <is>
          <t>Non-Compliant</t>
        </is>
      </c>
      <c r="B39" s="5" t="inlineStr">
        <is>
          <t>Absent, fundamentally deficient, or not operating. Regulatory criteria not met.</t>
        </is>
      </c>
    </row>
    <row r="40">
      <c r="A40" s="3" t="inlineStr">
        <is>
          <t>N/A</t>
        </is>
      </c>
      <c r="B40" s="5" t="inlineStr">
        <is>
          <t>Not applicable to entity's operations. Justification documented.</t>
        </is>
      </c>
    </row>
    <row r="42">
      <c r="A42" s="2" t="inlineStr">
        <is>
          <t>EVIDENCE HIERARCHY (prefer higher-ranked)</t>
        </is>
      </c>
    </row>
    <row r="43">
      <c r="A43" s="3" t="inlineStr">
        <is>
          <t>Rank 1</t>
        </is>
      </c>
      <c r="B43" s="4" t="inlineStr">
        <is>
          <t>Direct observation — IESP directly observes control in operation</t>
        </is>
      </c>
    </row>
    <row r="44">
      <c r="A44" s="3" t="inlineStr">
        <is>
          <t>Rank 2</t>
        </is>
      </c>
      <c r="B44" s="4" t="inlineStr">
        <is>
          <t>Independent confirmation — Third-party evidence (SOC 2, certifications)</t>
        </is>
      </c>
    </row>
    <row r="45">
      <c r="A45" s="3" t="inlineStr">
        <is>
          <t>Rank 3</t>
        </is>
      </c>
      <c r="B45" s="4" t="inlineStr">
        <is>
          <t>System-generated — Logs, configurations without manual intervention</t>
        </is>
      </c>
    </row>
    <row r="46">
      <c r="A46" s="3" t="inlineStr">
        <is>
          <t>Rank 4</t>
        </is>
      </c>
      <c r="B46" s="4" t="inlineStr">
        <is>
          <t>Re-performance — IESP re-performs control procedure</t>
        </is>
      </c>
    </row>
    <row r="47">
      <c r="A47" s="3" t="inlineStr">
        <is>
          <t>Rank 5</t>
        </is>
      </c>
      <c r="B47" s="4" t="inlineStr">
        <is>
          <t>Documentary — Policies, procedures, meeting minutes</t>
        </is>
      </c>
    </row>
    <row r="48">
      <c r="A48" s="3" t="inlineStr">
        <is>
          <t>Rank 6</t>
        </is>
      </c>
      <c r="B48" s="4" t="inlineStr">
        <is>
          <t>Inquiry — Verbal representations from FI personnel</t>
        </is>
      </c>
    </row>
    <row r="50">
      <c r="A50" s="2" t="inlineStr">
        <is>
          <t>SAMPLING METHODOLOGY</t>
        </is>
      </c>
    </row>
    <row r="51">
      <c r="A51" s="3" t="inlineStr">
        <is>
          <t>Sampling Approach:</t>
        </is>
      </c>
      <c r="B51" s="5" t="inlineStr">
        <is>
          <t>Judgmental (not statistical) — appropriate for limited assurance engagements under BNM RMiT. Sample sizes are based on population size and control risk tier.</t>
        </is>
      </c>
    </row>
    <row r="53">
      <c r="A53" s="3" t="inlineStr">
        <is>
          <t>Sample Size Table:</t>
        </is>
      </c>
    </row>
    <row r="54">
      <c r="A54" s="6" t="inlineStr">
        <is>
          <t>Population Size</t>
        </is>
      </c>
      <c r="B54" s="6" t="inlineStr">
        <is>
          <t>Standard Risk</t>
        </is>
      </c>
      <c r="C54" s="6" t="inlineStr">
        <is>
          <t>High Risk</t>
        </is>
      </c>
      <c r="D54" s="6" t="inlineStr">
        <is>
          <t>Rationale</t>
        </is>
      </c>
    </row>
    <row r="55">
      <c r="A55" s="7" t="inlineStr">
        <is>
          <t>1-5</t>
        </is>
      </c>
      <c r="B55" s="7" t="inlineStr">
        <is>
          <t>All</t>
        </is>
      </c>
      <c r="C55" s="7" t="inlineStr">
        <is>
          <t>All</t>
        </is>
      </c>
      <c r="D55" s="7" t="inlineStr">
        <is>
          <t>Full coverage feasible</t>
        </is>
      </c>
    </row>
    <row r="56">
      <c r="A56" s="7" t="inlineStr">
        <is>
          <t>6-15</t>
        </is>
      </c>
      <c r="B56" s="7" t="inlineStr">
        <is>
          <t>3</t>
        </is>
      </c>
      <c r="C56" s="7" t="inlineStr">
        <is>
          <t>5</t>
        </is>
      </c>
      <c r="D56" s="7" t="inlineStr">
        <is>
          <t>~25-40% coverage</t>
        </is>
      </c>
    </row>
    <row r="57">
      <c r="A57" s="7" t="inlineStr">
        <is>
          <t>16-50</t>
        </is>
      </c>
      <c r="B57" s="7" t="inlineStr">
        <is>
          <t>5</t>
        </is>
      </c>
      <c r="C57" s="7" t="inlineStr">
        <is>
          <t>8</t>
        </is>
      </c>
      <c r="D57" s="7" t="inlineStr">
        <is>
          <t>Sufficient for pattern detection</t>
        </is>
      </c>
    </row>
    <row r="58">
      <c r="A58" s="7" t="inlineStr">
        <is>
          <t>51-100</t>
        </is>
      </c>
      <c r="B58" s="7" t="inlineStr">
        <is>
          <t>8</t>
        </is>
      </c>
      <c r="C58" s="7" t="inlineStr">
        <is>
          <t>12</t>
        </is>
      </c>
      <c r="D58" s="7" t="inlineStr">
        <is>
          <t>Diminishing returns beyond this</t>
        </is>
      </c>
    </row>
    <row r="59">
      <c r="A59" s="7" t="inlineStr">
        <is>
          <t>100+</t>
        </is>
      </c>
      <c r="B59" s="7" t="inlineStr">
        <is>
          <t>10</t>
        </is>
      </c>
      <c r="C59" s="7" t="inlineStr">
        <is>
          <t>15</t>
        </is>
      </c>
      <c r="D59" s="7" t="inlineStr">
        <is>
          <t>Cap with stratification</t>
        </is>
      </c>
    </row>
    <row r="61">
      <c r="A61" s="3" t="inlineStr">
        <is>
          <t>Time-Based Evidence Coverage:</t>
        </is>
      </c>
    </row>
    <row r="62">
      <c r="A62" s="6" t="inlineStr">
        <is>
          <t>Evidence Type</t>
        </is>
      </c>
      <c r="B62" s="6" t="inlineStr">
        <is>
          <t>Coverage Period</t>
        </is>
      </c>
      <c r="C62" s="6" t="inlineStr">
        <is>
          <t>Rationale</t>
        </is>
      </c>
    </row>
    <row r="63">
      <c r="A63" s="7" t="inlineStr">
        <is>
          <t>Board/committee reports</t>
        </is>
      </c>
      <c r="B63" s="7" t="inlineStr">
        <is>
          <t>Last 4 quarters</t>
        </is>
      </c>
      <c r="C63" s="7" t="inlineStr">
        <is>
          <t>Full annual governance cycle</t>
        </is>
      </c>
    </row>
    <row r="64">
      <c r="A64" s="7" t="inlineStr">
        <is>
          <t>Operational records (incidents, changes, patches)</t>
        </is>
      </c>
      <c r="B64" s="7" t="inlineStr">
        <is>
          <t>Last 3-6 months</t>
        </is>
      </c>
      <c r="C64" s="7" t="inlineStr">
        <is>
          <t>Recent operating effectiveness</t>
        </is>
      </c>
    </row>
    <row r="65">
      <c r="A65" s="7" t="inlineStr">
        <is>
          <t>Annual processes (risk assessment, DR test, pen test)</t>
        </is>
      </c>
      <c r="B65" s="7" t="inlineStr">
        <is>
          <t>Last 12 months</t>
        </is>
      </c>
      <c r="C65" s="7" t="inlineStr">
        <is>
          <t>Full cycle</t>
        </is>
      </c>
    </row>
    <row r="66">
      <c r="A66" s="7" t="inlineStr">
        <is>
          <t>Continuous monitoring (SOC, logs, alerts)</t>
        </is>
      </c>
      <c r="B66" s="7" t="inlineStr">
        <is>
          <t>Last 30 days</t>
        </is>
      </c>
      <c r="C66" s="7" t="inlineStr">
        <is>
          <t>Current state verification</t>
        </is>
      </c>
    </row>
    <row r="67">
      <c r="A67" s="7" t="inlineStr">
        <is>
          <t>Policies and frameworks</t>
        </is>
      </c>
      <c r="B67" s="7" t="inlineStr">
        <is>
          <t>Current version + prior</t>
        </is>
      </c>
      <c r="C67" s="7" t="inlineStr">
        <is>
          <t>Change tracking</t>
        </is>
      </c>
    </row>
    <row r="69">
      <c r="A69" s="3" t="inlineStr">
        <is>
          <t>Control Risk Tiers:</t>
        </is>
      </c>
    </row>
    <row r="70">
      <c r="A70" s="6" t="inlineStr">
        <is>
          <t>Tier</t>
        </is>
      </c>
      <c r="B70" s="6" t="inlineStr">
        <is>
          <t>Controls</t>
        </is>
      </c>
      <c r="C70" s="6" t="inlineStr">
        <is>
          <t>Sampling Level</t>
        </is>
      </c>
    </row>
    <row r="71">
      <c r="A71" s="7" t="inlineStr">
        <is>
          <t>Critical</t>
        </is>
      </c>
      <c r="B71" s="7" t="inlineStr">
        <is>
          <t>Governance framework, SOC, incident response, regulatory notification, BCM, customer data protection</t>
        </is>
      </c>
      <c r="C71" s="7" t="inlineStr">
        <is>
          <t>High risk samples</t>
        </is>
      </c>
    </row>
    <row r="72">
      <c r="A72" s="7" t="inlineStr">
        <is>
          <t>Standard</t>
        </is>
      </c>
      <c r="B72" s="7" t="inlineStr">
        <is>
          <t>Most controls (risk assessment, vuln mgmt, vendor assessment, change mgmt, etc.)</t>
        </is>
      </c>
      <c r="C72" s="7" t="inlineStr">
        <is>
          <t>Standard risk samples</t>
        </is>
      </c>
    </row>
    <row r="73">
      <c r="A73" s="7" t="inlineStr">
        <is>
          <t>Conditional</t>
        </is>
      </c>
      <c r="B73" s="7" t="inlineStr">
        <is>
          <t>Emerging tech, specialised areas — may be N/A</t>
        </is>
      </c>
      <c r="C73" s="7" t="inlineStr">
        <is>
          <t>Standard if applicable</t>
        </is>
      </c>
    </row>
    <row r="75">
      <c r="A75" s="2" t="inlineStr">
        <is>
          <t>LIMITATIONS</t>
        </is>
      </c>
    </row>
    <row r="76">
      <c r="A76" s="5" t="inlineStr">
        <is>
          <t>1. Limited assurance engagement — conclusions based on procedures performed, not absolute assurance.</t>
        </is>
      </c>
    </row>
    <row r="77">
      <c r="A77" s="5" t="inlineStr">
        <is>
          <t>2. Point-in-time (design adequacy) or period assessment (operating effectiveness).</t>
        </is>
      </c>
    </row>
    <row r="78">
      <c r="A78" s="5" t="inlineStr">
        <is>
          <t>3. Reliance on management representations and documentation provided.</t>
        </is>
      </c>
    </row>
    <row r="79">
      <c r="A79" s="5" t="inlineStr">
        <is>
          <t>4. Scope guided by BNM RMiT (BNM/RH/PD 028-98, 28 Nov 2025).</t>
        </is>
      </c>
    </row>
    <row r="80">
      <c r="A80" s="5" t="inlineStr">
        <is>
          <t>5. Does not constitute legal or regulatory advice.</t>
        </is>
      </c>
    </row>
    <row r="81">
      <c r="A81" s="5" t="inlineStr">
        <is>
          <t>6. The IESP remains solely responsible for the sufficiency of work performed.</t>
        </is>
      </c>
    </row>
    <row r="83">
      <c r="A83" s="2" t="inlineStr">
        <is>
          <t>SIGN-OFF</t>
        </is>
      </c>
    </row>
    <row r="84">
      <c r="A84" s="3" t="inlineStr">
        <is>
          <t>Lead Assessor:</t>
        </is>
      </c>
      <c r="B84" s="4" t="inlineStr">
        <is>
          <t>________________________</t>
        </is>
      </c>
      <c r="F84" s="3" t="inlineStr">
        <is>
          <t>Date:</t>
        </is>
      </c>
      <c r="G84" s="4" t="inlineStr">
        <is>
          <t>______________</t>
        </is>
      </c>
    </row>
    <row r="85">
      <c r="A85" s="3" t="inlineStr">
        <is>
          <t>Quality Reviewer:</t>
        </is>
      </c>
      <c r="B85" s="4" t="inlineStr">
        <is>
          <t>________________________</t>
        </is>
      </c>
      <c r="F85" s="3" t="inlineStr">
        <is>
          <t>Date:</t>
        </is>
      </c>
      <c r="G85" s="4" t="inlineStr">
        <is>
          <t>______________</t>
        </is>
      </c>
    </row>
    <row r="86">
      <c r="A86" s="3" t="inlineStr">
        <is>
          <t>Entity Representative:</t>
        </is>
      </c>
      <c r="B86" s="4" t="inlineStr">
        <is>
          <t>________________________</t>
        </is>
      </c>
      <c r="F86" s="3" t="inlineStr">
        <is>
          <t>Date:</t>
        </is>
      </c>
      <c r="G86" s="4" t="inlineStr">
        <is>
          <t>______________</t>
        </is>
      </c>
    </row>
  </sheetData>
  <mergeCells count="25">
    <mergeCell ref="A76:M76"/>
    <mergeCell ref="A14:M14"/>
    <mergeCell ref="A22:M22"/>
    <mergeCell ref="A4:M4"/>
    <mergeCell ref="A29:M29"/>
    <mergeCell ref="A20:M20"/>
    <mergeCell ref="A81:M81"/>
    <mergeCell ref="A19:M19"/>
    <mergeCell ref="A77:M77"/>
    <mergeCell ref="A83:M83"/>
    <mergeCell ref="A15:M15"/>
    <mergeCell ref="A24:M24"/>
    <mergeCell ref="A36:M36"/>
    <mergeCell ref="A1:M1"/>
    <mergeCell ref="B51:M51"/>
    <mergeCell ref="A79:M79"/>
    <mergeCell ref="A78:M78"/>
    <mergeCell ref="A16:M16"/>
    <mergeCell ref="A80:M80"/>
    <mergeCell ref="A75:M75"/>
    <mergeCell ref="A18:M18"/>
    <mergeCell ref="A50:M50"/>
    <mergeCell ref="A21:M21"/>
    <mergeCell ref="A2:M2"/>
    <mergeCell ref="A42:M4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6" customWidth="1" min="1" max="1"/>
    <col width="30" customWidth="1" min="2" max="2"/>
    <col width="40" customWidth="1" min="3" max="3"/>
    <col width="20" customWidth="1" min="4" max="4"/>
    <col width="30" customWidth="1" min="5" max="5"/>
    <col width="20" customWidth="1" min="6" max="6"/>
  </cols>
  <sheetData>
    <row r="1">
      <c r="A1" s="1" t="inlineStr">
        <is>
          <t>ENGAGEMENT SCOPING — BNM RMiT IESP — Network Resilience Assessment (NRA)</t>
        </is>
      </c>
    </row>
    <row r="3">
      <c r="A3" s="2" t="inlineStr">
        <is>
          <t>ASSESSMENT LEVELS</t>
        </is>
      </c>
    </row>
    <row r="4">
      <c r="A4" s="3" t="inlineStr">
        <is>
          <t>ORG</t>
        </is>
      </c>
      <c r="B4" s="5" t="inlineStr">
        <is>
          <t>Organisation / Enterprise level. Assessed ONCE per engagement. Policies, frameworks, governance structures that apply across all platforms and systems.</t>
        </is>
      </c>
    </row>
    <row r="5">
      <c r="A5" s="3" t="inlineStr">
        <is>
          <t>PLATFORM</t>
        </is>
      </c>
      <c r="B5" s="5" t="inlineStr">
        <is>
          <t>Platform / CSP level. Assessed PER PLATFORM in scope. If the FI uses AWS and Azure, repeat these test steps for each. Covers platform-specific configurations and controls.</t>
        </is>
      </c>
    </row>
    <row r="6">
      <c r="A6" s="3" t="inlineStr">
        <is>
          <t>WORKLOAD</t>
        </is>
      </c>
      <c r="B6" s="5" t="inlineStr">
        <is>
          <t>Workload / Application / System level. Assessed PER CRITICAL SYSTEM in scope using sampling. Covers system-specific deployments, configurations, and arrangements.</t>
        </is>
      </c>
    </row>
    <row r="8">
      <c r="A8" s="2" t="inlineStr">
        <is>
          <t>PLATFORMS / CSPs IN SCOPE</t>
        </is>
      </c>
    </row>
    <row r="9">
      <c r="A9" s="8" t="inlineStr">
        <is>
          <t>#</t>
        </is>
      </c>
      <c r="B9" s="8" t="inlineStr">
        <is>
          <t>Platform / CSP</t>
        </is>
      </c>
      <c r="C9" s="8" t="inlineStr">
        <is>
          <t>Service Models (IaaS/PaaS/SaaS)</t>
        </is>
      </c>
      <c r="D9" s="8" t="inlineStr">
        <is>
          <t>Regions</t>
        </is>
      </c>
      <c r="E9" s="8" t="inlineStr">
        <is>
          <t>Contract Ref</t>
        </is>
      </c>
      <c r="F9" s="8" t="inlineStr">
        <is>
          <t>Notes</t>
        </is>
      </c>
    </row>
    <row r="10">
      <c r="A10" s="9" t="inlineStr">
        <is>
          <t>1</t>
        </is>
      </c>
      <c r="B10" s="9" t="inlineStr"/>
      <c r="C10" s="9" t="inlineStr"/>
      <c r="D10" s="9" t="inlineStr"/>
      <c r="E10" s="9" t="inlineStr"/>
      <c r="F10" s="9" t="inlineStr"/>
    </row>
    <row r="11">
      <c r="A11" s="9" t="inlineStr">
        <is>
          <t>2</t>
        </is>
      </c>
      <c r="B11" s="9" t="inlineStr"/>
      <c r="C11" s="9" t="inlineStr"/>
      <c r="D11" s="9" t="inlineStr"/>
      <c r="E11" s="9" t="inlineStr"/>
      <c r="F11" s="9" t="inlineStr"/>
    </row>
    <row r="12">
      <c r="A12" s="9" t="inlineStr">
        <is>
          <t>3</t>
        </is>
      </c>
      <c r="B12" s="9" t="inlineStr"/>
      <c r="C12" s="9" t="inlineStr"/>
      <c r="D12" s="9" t="inlineStr"/>
      <c r="E12" s="9" t="inlineStr"/>
      <c r="F12" s="9" t="inlineStr"/>
    </row>
    <row r="13">
      <c r="A13" s="9" t="inlineStr">
        <is>
          <t>4</t>
        </is>
      </c>
      <c r="B13" s="9" t="inlineStr"/>
      <c r="C13" s="9" t="inlineStr"/>
      <c r="D13" s="9" t="inlineStr"/>
      <c r="E13" s="9" t="inlineStr"/>
      <c r="F13" s="9" t="inlineStr"/>
    </row>
    <row r="14">
      <c r="A14" s="9" t="inlineStr">
        <is>
          <t>5</t>
        </is>
      </c>
      <c r="B14" s="9" t="inlineStr"/>
      <c r="C14" s="9" t="inlineStr"/>
      <c r="D14" s="9" t="inlineStr"/>
      <c r="E14" s="9" t="inlineStr"/>
      <c r="F14" s="9" t="inlineStr"/>
    </row>
    <row r="16">
      <c r="A16" s="2" t="inlineStr">
        <is>
          <t>CRITICAL SYSTEMS / WORKLOADS IN SCOPE</t>
        </is>
      </c>
    </row>
    <row r="17">
      <c r="A17" s="8" t="inlineStr">
        <is>
          <t>#</t>
        </is>
      </c>
      <c r="B17" s="8" t="inlineStr">
        <is>
          <t>System / Application Name</t>
        </is>
      </c>
      <c r="C17" s="8" t="inlineStr">
        <is>
          <t>Platform</t>
        </is>
      </c>
      <c r="D17" s="8" t="inlineStr">
        <is>
          <t>Criticality</t>
        </is>
      </c>
      <c r="E17" s="8" t="inlineStr">
        <is>
          <t>Data Classification</t>
        </is>
      </c>
      <c r="F17" s="8" t="inlineStr">
        <is>
          <t>Notes</t>
        </is>
      </c>
    </row>
    <row r="18">
      <c r="A18" s="9" t="inlineStr">
        <is>
          <t>1</t>
        </is>
      </c>
      <c r="B18" s="9" t="inlineStr"/>
      <c r="C18" s="9" t="inlineStr"/>
      <c r="D18" s="9" t="inlineStr"/>
      <c r="E18" s="9" t="inlineStr"/>
      <c r="F18" s="9" t="inlineStr"/>
    </row>
    <row r="19">
      <c r="A19" s="9" t="inlineStr">
        <is>
          <t>2</t>
        </is>
      </c>
      <c r="B19" s="9" t="inlineStr"/>
      <c r="C19" s="9" t="inlineStr"/>
      <c r="D19" s="9" t="inlineStr"/>
      <c r="E19" s="9" t="inlineStr"/>
      <c r="F19" s="9" t="inlineStr"/>
    </row>
    <row r="20">
      <c r="A20" s="9" t="inlineStr">
        <is>
          <t>3</t>
        </is>
      </c>
      <c r="B20" s="9" t="inlineStr"/>
      <c r="C20" s="9" t="inlineStr"/>
      <c r="D20" s="9" t="inlineStr"/>
      <c r="E20" s="9" t="inlineStr"/>
      <c r="F20" s="9" t="inlineStr"/>
    </row>
    <row r="21">
      <c r="A21" s="9" t="inlineStr">
        <is>
          <t>4</t>
        </is>
      </c>
      <c r="B21" s="9" t="inlineStr"/>
      <c r="C21" s="9" t="inlineStr"/>
      <c r="D21" s="9" t="inlineStr"/>
      <c r="E21" s="9" t="inlineStr"/>
      <c r="F21" s="9" t="inlineStr"/>
    </row>
    <row r="22">
      <c r="A22" s="9" t="inlineStr">
        <is>
          <t>5</t>
        </is>
      </c>
      <c r="B22" s="9" t="inlineStr"/>
      <c r="C22" s="9" t="inlineStr"/>
      <c r="D22" s="9" t="inlineStr"/>
      <c r="E22" s="9" t="inlineStr"/>
      <c r="F22" s="9" t="inlineStr"/>
    </row>
    <row r="23">
      <c r="A23" s="9" t="inlineStr">
        <is>
          <t>6</t>
        </is>
      </c>
      <c r="B23" s="9" t="inlineStr"/>
      <c r="C23" s="9" t="inlineStr"/>
      <c r="D23" s="9" t="inlineStr"/>
      <c r="E23" s="9" t="inlineStr"/>
      <c r="F23" s="9" t="inlineStr"/>
    </row>
    <row r="24">
      <c r="A24" s="9" t="inlineStr">
        <is>
          <t>7</t>
        </is>
      </c>
      <c r="B24" s="9" t="inlineStr"/>
      <c r="C24" s="9" t="inlineStr"/>
      <c r="D24" s="9" t="inlineStr"/>
      <c r="E24" s="9" t="inlineStr"/>
      <c r="F24" s="9" t="inlineStr"/>
    </row>
    <row r="25">
      <c r="A25" s="9" t="inlineStr">
        <is>
          <t>8</t>
        </is>
      </c>
      <c r="B25" s="9" t="inlineStr"/>
      <c r="C25" s="9" t="inlineStr"/>
      <c r="D25" s="9" t="inlineStr"/>
      <c r="E25" s="9" t="inlineStr"/>
      <c r="F25" s="9" t="inlineStr"/>
    </row>
    <row r="26">
      <c r="A26" s="9" t="inlineStr">
        <is>
          <t>9</t>
        </is>
      </c>
      <c r="B26" s="9" t="inlineStr"/>
      <c r="C26" s="9" t="inlineStr"/>
      <c r="D26" s="9" t="inlineStr"/>
      <c r="E26" s="9" t="inlineStr"/>
      <c r="F26" s="9" t="inlineStr"/>
    </row>
    <row r="27">
      <c r="A27" s="9" t="inlineStr">
        <is>
          <t>10</t>
        </is>
      </c>
      <c r="B27" s="9" t="inlineStr"/>
      <c r="C27" s="9" t="inlineStr"/>
      <c r="D27" s="9" t="inlineStr"/>
      <c r="E27" s="9" t="inlineStr"/>
      <c r="F27" s="9" t="inlineStr"/>
    </row>
    <row r="29">
      <c r="A29" s="2" t="inlineStr">
        <is>
          <t>SAMPLING APPROACH</t>
        </is>
      </c>
    </row>
    <row r="30">
      <c r="A30" s="3" t="inlineStr">
        <is>
          <t>Assessment Period:</t>
        </is>
      </c>
      <c r="B30" s="4" t="inlineStr">
        <is>
          <t>[Start Date] to [End Date]</t>
        </is>
      </c>
    </row>
    <row r="31">
      <c r="A31" s="3" t="inlineStr">
        <is>
          <t>User Access Samples:</t>
        </is>
      </c>
      <c r="B31" s="4" t="inlineStr">
        <is>
          <t>[e.g., 20 user accounts, 10 leavers/transfers]</t>
        </is>
      </c>
    </row>
    <row r="32">
      <c r="A32" s="3" t="inlineStr">
        <is>
          <t>Change Management Samples:</t>
        </is>
      </c>
      <c r="B32" s="4" t="inlineStr">
        <is>
          <t>[e.g., 10 recent changes]</t>
        </is>
      </c>
    </row>
    <row r="33">
      <c r="A33" s="3" t="inlineStr">
        <is>
          <t>Incident Samples:</t>
        </is>
      </c>
      <c r="B33" s="4" t="inlineStr">
        <is>
          <t>[e.g., 15 SOC alerts, all significant incidents in period]</t>
        </is>
      </c>
    </row>
    <row r="34">
      <c r="A34" s="3" t="inlineStr">
        <is>
          <t>Firewall Rule Samples:</t>
        </is>
      </c>
      <c r="B34" s="4" t="inlineStr">
        <is>
          <t>[e.g., 20 rules]</t>
        </is>
      </c>
    </row>
    <row r="35">
      <c r="A35" s="3" t="inlineStr">
        <is>
          <t>Configuration Samples:</t>
        </is>
      </c>
      <c r="B35" s="4" t="inlineStr">
        <is>
          <t>[e.g., 10 network devices]</t>
        </is>
      </c>
    </row>
  </sheetData>
  <mergeCells count="14">
    <mergeCell ref="B4:F4"/>
    <mergeCell ref="A16:F16"/>
    <mergeCell ref="B30:F30"/>
    <mergeCell ref="B6:F6"/>
    <mergeCell ref="B32:F32"/>
    <mergeCell ref="B34:F34"/>
    <mergeCell ref="B33:F33"/>
    <mergeCell ref="A1:F1"/>
    <mergeCell ref="B5:F5"/>
    <mergeCell ref="A8:F8"/>
    <mergeCell ref="B31:F31"/>
    <mergeCell ref="A3:F3"/>
    <mergeCell ref="A29:F29"/>
    <mergeCell ref="B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50" customWidth="1" min="2" max="2"/>
    <col width="20" customWidth="1" min="3" max="3"/>
    <col width="15" customWidth="1" min="4" max="4"/>
    <col width="30" customWidth="1" min="5" max="5"/>
  </cols>
  <sheetData>
    <row r="1">
      <c r="A1" s="1" t="inlineStr">
        <is>
          <t>PLANNING AND SCOPING CHECKLIST</t>
        </is>
      </c>
    </row>
    <row r="3">
      <c r="A3" s="8" t="inlineStr">
        <is>
          <t>Step</t>
        </is>
      </c>
      <c r="B3" s="8" t="inlineStr">
        <is>
          <t>Activity</t>
        </is>
      </c>
      <c r="C3" s="8" t="inlineStr">
        <is>
          <t>Responsible</t>
        </is>
      </c>
      <c r="D3" s="8" t="inlineStr">
        <is>
          <t>Status</t>
        </is>
      </c>
      <c r="E3" s="8" t="inlineStr">
        <is>
          <t>Notes</t>
        </is>
      </c>
    </row>
    <row r="4">
      <c r="A4" s="7" t="inlineStr">
        <is>
          <t>P-01</t>
        </is>
      </c>
      <c r="B4" s="7" t="inlineStr">
        <is>
          <t>Confirm engagement trigger and regulatory basis</t>
        </is>
      </c>
      <c r="C4" s="7" t="inlineStr"/>
      <c r="D4" s="7" t="inlineStr"/>
      <c r="E4" s="7" t="inlineStr"/>
    </row>
    <row r="5">
      <c r="A5" s="7" t="inlineStr">
        <is>
          <t>P-02</t>
        </is>
      </c>
      <c r="B5" s="7" t="inlineStr">
        <is>
          <t>Issue engagement letter with scope, timeline, and deliverables</t>
        </is>
      </c>
      <c r="C5" s="7" t="inlineStr"/>
      <c r="D5" s="7" t="inlineStr"/>
      <c r="E5" s="7" t="inlineStr"/>
    </row>
    <row r="6">
      <c r="A6" s="7" t="inlineStr">
        <is>
          <t>P-03</t>
        </is>
      </c>
      <c r="B6" s="7" t="inlineStr">
        <is>
          <t>Confirm IESP team qualifications and independence (Part C compliance)</t>
        </is>
      </c>
      <c r="C6" s="7" t="inlineStr"/>
      <c r="D6" s="7" t="inlineStr"/>
      <c r="E6" s="7" t="inlineStr"/>
    </row>
    <row r="7">
      <c r="A7" s="7" t="inlineStr">
        <is>
          <t>P-04</t>
        </is>
      </c>
      <c r="B7" s="7" t="inlineStr">
        <is>
          <t>Issue Document Request List (DRL) to the FI</t>
        </is>
      </c>
      <c r="C7" s="7" t="inlineStr"/>
      <c r="D7" s="7" t="inlineStr"/>
      <c r="E7" s="7" t="inlineStr"/>
    </row>
    <row r="8">
      <c r="A8" s="7" t="inlineStr">
        <is>
          <t>P-05</t>
        </is>
      </c>
      <c r="B8" s="7" t="inlineStr">
        <is>
          <t>Obtain and review prior assessment reports and remediation status</t>
        </is>
      </c>
      <c r="C8" s="7" t="inlineStr"/>
      <c r="D8" s="7" t="inlineStr"/>
      <c r="E8" s="7" t="inlineStr"/>
    </row>
    <row r="9">
      <c r="A9" s="7" t="inlineStr">
        <is>
          <t>P-06</t>
        </is>
      </c>
      <c r="B9" s="7" t="inlineStr">
        <is>
          <t>Identify platforms/CSPs in scope and complete scoping sheet</t>
        </is>
      </c>
      <c r="C9" s="7" t="inlineStr"/>
      <c r="D9" s="7" t="inlineStr"/>
      <c r="E9" s="7" t="inlineStr"/>
    </row>
    <row r="10">
      <c r="A10" s="7" t="inlineStr">
        <is>
          <t>P-07</t>
        </is>
      </c>
      <c r="B10" s="7" t="inlineStr">
        <is>
          <t>Identify critical systems/workloads in scope</t>
        </is>
      </c>
      <c r="C10" s="7" t="inlineStr"/>
      <c r="D10" s="7" t="inlineStr"/>
      <c r="E10" s="7" t="inlineStr"/>
    </row>
    <row r="11">
      <c r="A11" s="7" t="inlineStr">
        <is>
          <t>P-08</t>
        </is>
      </c>
      <c r="B11" s="7" t="inlineStr">
        <is>
          <t>Define assessment period and sampling approach</t>
        </is>
      </c>
      <c r="C11" s="7" t="inlineStr"/>
      <c r="D11" s="7" t="inlineStr"/>
      <c r="E11" s="7" t="inlineStr"/>
    </row>
    <row r="12">
      <c r="A12" s="7" t="inlineStr">
        <is>
          <t>P-09</t>
        </is>
      </c>
      <c r="B12" s="7" t="inlineStr">
        <is>
          <t>Determine engagement mode: design adequacy (pre-impl) or operating effectiveness (attestation)</t>
        </is>
      </c>
      <c r="C12" s="7" t="inlineStr"/>
      <c r="D12" s="7" t="inlineStr"/>
      <c r="E12" s="7" t="inlineStr"/>
    </row>
    <row r="13">
      <c r="A13" s="7" t="inlineStr">
        <is>
          <t>P-10</t>
        </is>
      </c>
      <c r="B13" s="7" t="inlineStr">
        <is>
          <t>Determine if higher-risk services criteria apply (customer data, cross-border)</t>
        </is>
      </c>
      <c r="C13" s="7" t="inlineStr"/>
      <c r="D13" s="7" t="inlineStr"/>
      <c r="E13" s="7" t="inlineStr"/>
    </row>
    <row r="14">
      <c r="A14" s="7" t="inlineStr">
        <is>
          <t>P-11</t>
        </is>
      </c>
      <c r="B14" s="7" t="inlineStr">
        <is>
          <t>Schedule site visits / remote assessment sessions</t>
        </is>
      </c>
      <c r="C14" s="7" t="inlineStr"/>
      <c r="D14" s="7" t="inlineStr"/>
      <c r="E14" s="7" t="inlineStr"/>
    </row>
    <row r="15">
      <c r="A15" s="7" t="inlineStr">
        <is>
          <t>P-12</t>
        </is>
      </c>
      <c r="B15" s="7" t="inlineStr">
        <is>
          <t>Conduct kick-off meeting with FI management</t>
        </is>
      </c>
      <c r="C15" s="7" t="inlineStr"/>
      <c r="D15" s="7" t="inlineStr"/>
      <c r="E15" s="7" t="inlineStr"/>
    </row>
    <row r="16">
      <c r="A16" s="7" t="inlineStr">
        <is>
          <t>P-13</t>
        </is>
      </c>
      <c r="B16" s="7" t="inlineStr">
        <is>
          <t>Receive and catalogue DRL responses</t>
        </is>
      </c>
      <c r="C16" s="7" t="inlineStr"/>
      <c r="D16" s="7" t="inlineStr"/>
      <c r="E16" s="7" t="inlineStr"/>
    </row>
    <row r="17">
      <c r="A17" s="7" t="inlineStr">
        <is>
          <t>P-14</t>
        </is>
      </c>
      <c r="B17" s="7" t="inlineStr">
        <is>
          <t>Finalise scoping memorandum</t>
        </is>
      </c>
      <c r="C17" s="7" t="inlineStr"/>
      <c r="D17" s="7" t="inlineStr"/>
      <c r="E17" s="7" t="inlineStr"/>
    </row>
  </sheetData>
  <mergeCells count="1">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35"/>
  <sheetViews>
    <sheetView workbookViewId="0">
      <selection activeCell="A1" sqref="A1"/>
    </sheetView>
  </sheetViews>
  <sheetFormatPr baseColWidth="8" defaultRowHeight="15"/>
  <cols>
    <col width="10" customWidth="1" min="1" max="1"/>
    <col width="11" customWidth="1" min="2" max="2"/>
    <col width="20" customWidth="1" min="3" max="3"/>
    <col width="28" customWidth="1" min="4" max="4"/>
    <col width="50" customWidth="1" min="5" max="5"/>
    <col width="35" customWidth="1" min="6" max="6"/>
    <col width="14" customWidth="1" min="7" max="7"/>
    <col width="30" customWidth="1" min="8" max="8"/>
    <col width="25" customWidth="1" min="9" max="9"/>
    <col width="12" customWidth="1" min="10" max="10"/>
    <col width="30" customWidth="1" min="11" max="11"/>
    <col width="16" customWidth="1" min="12" max="12"/>
    <col width="30" customWidth="1" min="13" max="13"/>
  </cols>
  <sheetData>
    <row r="1">
      <c r="A1" s="10" t="inlineStr">
        <is>
          <t>Ref</t>
        </is>
      </c>
      <c r="B1" s="10" t="inlineStr">
        <is>
          <t>Level</t>
        </is>
      </c>
      <c r="C1" s="10" t="inlineStr">
        <is>
          <t>Control</t>
        </is>
      </c>
      <c r="D1" s="10" t="inlineStr">
        <is>
          <t>Sub-Procedure</t>
        </is>
      </c>
      <c r="E1" s="10" t="inlineStr">
        <is>
          <t>Assessment Procedures</t>
        </is>
      </c>
      <c r="F1" s="10" t="inlineStr">
        <is>
          <t>Expected Evidence</t>
        </is>
      </c>
      <c r="G1" s="10" t="inlineStr">
        <is>
          <t>Method</t>
        </is>
      </c>
      <c r="H1" s="10" t="inlineStr">
        <is>
          <t>Procedures Performed</t>
        </is>
      </c>
      <c r="I1" s="10" t="inlineStr">
        <is>
          <t>Evidence Obtained</t>
        </is>
      </c>
      <c r="J1" s="10" t="inlineStr">
        <is>
          <t>Evidence Ref</t>
        </is>
      </c>
      <c r="K1" s="10" t="inlineStr">
        <is>
          <t>Observation / Findings</t>
        </is>
      </c>
      <c r="L1" s="10" t="inlineStr">
        <is>
          <t>Conclusion</t>
        </is>
      </c>
      <c r="M1" s="10" t="inlineStr">
        <is>
          <t>Recommendations</t>
        </is>
      </c>
    </row>
    <row r="2">
      <c r="A2" s="11" t="inlineStr">
        <is>
          <t>Domain 1 — Network Design and Scalability (10.36)</t>
        </is>
      </c>
      <c r="B2" s="12" t="n"/>
      <c r="C2" s="12" t="n"/>
      <c r="D2" s="12" t="n"/>
      <c r="E2" s="12" t="n"/>
      <c r="F2" s="12" t="n"/>
      <c r="G2" s="12" t="n"/>
      <c r="H2" s="12" t="n"/>
      <c r="I2" s="12" t="n"/>
      <c r="J2" s="12" t="n"/>
      <c r="K2" s="12" t="n"/>
      <c r="L2" s="12" t="n"/>
      <c r="M2" s="12" t="n"/>
    </row>
    <row r="3">
      <c r="A3" s="13" t="inlineStr">
        <is>
          <t>Network must be designed for current and future capacity. Expect documented capacity planning, scalability, performance SLAs. Under-capacity networks degrade service availability.</t>
        </is>
      </c>
      <c r="B3" s="14" t="n"/>
      <c r="C3" s="14" t="n"/>
      <c r="D3" s="14" t="n"/>
      <c r="E3" s="14" t="n"/>
      <c r="F3" s="14" t="n"/>
      <c r="G3" s="14" t="n"/>
      <c r="H3" s="14" t="n"/>
      <c r="I3" s="14" t="n"/>
      <c r="J3" s="14" t="n"/>
      <c r="K3" s="14" t="n"/>
      <c r="L3" s="14" t="n"/>
      <c r="M3" s="14" t="n"/>
    </row>
    <row r="4">
      <c r="A4" s="7" t="inlineStr">
        <is>
          <t>NRA-01</t>
        </is>
      </c>
      <c r="B4" s="7" t="inlineStr">
        <is>
          <t>ORG</t>
        </is>
      </c>
      <c r="C4" s="7" t="inlineStr">
        <is>
          <t>Network Design</t>
        </is>
      </c>
      <c r="D4" s="7" t="inlineStr">
        <is>
          <t>Capacity requirements</t>
        </is>
      </c>
      <c r="E4" s="7" t="inlineStr">
        <is>
          <t>1. Obtain capacity planning document.
2. Review bandwidth utilisation across critical links.
3. Verify 2-year growth projections.
4. Check utilisation thresholds trigger augmentation.</t>
        </is>
      </c>
      <c r="F4" s="7" t="inlineStr">
        <is>
          <t>Capacity planning document; Bandwidth utilisation reports (12 months); Growth projection model</t>
        </is>
      </c>
      <c r="G4" s="7" t="inlineStr">
        <is>
          <t>Inspection</t>
        </is>
      </c>
      <c r="H4" s="7" t="inlineStr"/>
      <c r="I4" s="7" t="inlineStr"/>
      <c r="J4" s="7" t="inlineStr"/>
      <c r="K4" s="7" t="inlineStr"/>
      <c r="L4" s="7" t="inlineStr"/>
      <c r="M4" s="7" t="inlineStr"/>
    </row>
    <row r="5">
      <c r="A5" s="7" t="inlineStr">
        <is>
          <t>NRA-02</t>
        </is>
      </c>
      <c r="B5" s="7" t="inlineStr">
        <is>
          <t>ORG</t>
        </is>
      </c>
      <c r="C5" s="7" t="inlineStr">
        <is>
          <t>Network Design</t>
        </is>
      </c>
      <c r="D5" s="7" t="inlineStr">
        <is>
          <t>Scalability</t>
        </is>
      </c>
      <c r="E5" s="7" t="inlineStr">
        <is>
          <t>1. Review architecture for modular/scalable design.
2. Assess whether it can accommodate growth without redesign.
3. Check technology currency — platforms within vendor support.</t>
        </is>
      </c>
      <c r="F5" s="7" t="inlineStr">
        <is>
          <t>Architecture design principles; Technology lifecycle tracker; Scalability assessment</t>
        </is>
      </c>
      <c r="G5" s="7" t="inlineStr">
        <is>
          <t>Inspection</t>
        </is>
      </c>
      <c r="H5" s="7" t="inlineStr"/>
      <c r="I5" s="7" t="inlineStr"/>
      <c r="J5" s="7" t="inlineStr"/>
      <c r="K5" s="7" t="inlineStr"/>
      <c r="L5" s="7" t="inlineStr"/>
      <c r="M5" s="7" t="inlineStr"/>
    </row>
    <row r="6">
      <c r="A6" s="7" t="inlineStr">
        <is>
          <t>NRA-03</t>
        </is>
      </c>
      <c r="B6" s="7" t="inlineStr">
        <is>
          <t>PLATFORM</t>
        </is>
      </c>
      <c r="C6" s="7" t="inlineStr">
        <is>
          <t>Network Design</t>
        </is>
      </c>
      <c r="D6" s="7" t="inlineStr">
        <is>
          <t>Performance SLAs</t>
        </is>
      </c>
      <c r="E6" s="7" t="inlineStr">
        <is>
          <t>1. Obtain SLA definitions (latency, jitter, packet loss, availability).
2. Verify monitoring tools.
3. Review SLA performance (6 months).
4. Check breaches trigger investigation.</t>
        </is>
      </c>
      <c r="F6" s="7" t="inlineStr">
        <is>
          <t>SLA definitions; Performance monitoring reports; SLA breach incident records</t>
        </is>
      </c>
      <c r="G6" s="7" t="inlineStr">
        <is>
          <t>Inspection</t>
        </is>
      </c>
      <c r="H6" s="7" t="inlineStr"/>
      <c r="I6" s="7" t="inlineStr"/>
      <c r="J6" s="7" t="inlineStr"/>
      <c r="K6" s="7" t="inlineStr"/>
      <c r="L6" s="7" t="inlineStr"/>
      <c r="M6" s="7" t="inlineStr"/>
    </row>
    <row r="7">
      <c r="A7" s="11" t="inlineStr">
        <is>
          <t>Domain 2 — Network Resilience and Reliability (10.37, 10.38)</t>
        </is>
      </c>
      <c r="B7" s="12" t="n"/>
      <c r="C7" s="12" t="n"/>
      <c r="D7" s="12" t="n"/>
      <c r="E7" s="12" t="n"/>
      <c r="F7" s="12" t="n"/>
      <c r="G7" s="12" t="n"/>
      <c r="H7" s="12" t="n"/>
      <c r="I7" s="12" t="n"/>
      <c r="J7" s="12" t="n"/>
      <c r="K7" s="12" t="n"/>
      <c r="L7" s="12" t="n"/>
      <c r="M7" s="12" t="n"/>
    </row>
    <row r="8">
      <c r="A8" s="13" t="inlineStr">
        <is>
          <t>Network redundancy and tested failover prevent outages. Expect diverse paths, HA pairs, tested failover, carrier diversity. Network outage impacts all services.</t>
        </is>
      </c>
      <c r="B8" s="14" t="n"/>
      <c r="C8" s="14" t="n"/>
      <c r="D8" s="14" t="n"/>
      <c r="E8" s="14" t="n"/>
      <c r="F8" s="14" t="n"/>
      <c r="G8" s="14" t="n"/>
      <c r="H8" s="14" t="n"/>
      <c r="I8" s="14" t="n"/>
      <c r="J8" s="14" t="n"/>
      <c r="K8" s="14" t="n"/>
      <c r="L8" s="14" t="n"/>
      <c r="M8" s="14" t="n"/>
    </row>
    <row r="9">
      <c r="A9" s="7" t="inlineStr">
        <is>
          <t>NRA-04</t>
        </is>
      </c>
      <c r="B9" s="7" t="inlineStr">
        <is>
          <t>PLATFORM</t>
        </is>
      </c>
      <c r="C9" s="7" t="inlineStr">
        <is>
          <t>Network Resilience</t>
        </is>
      </c>
      <c r="D9" s="7" t="inlineStr">
        <is>
          <t>Redundancy for critical paths</t>
        </is>
      </c>
      <c r="E9" s="7" t="inlineStr">
        <is>
          <t>1. Review topology for redundancy at each layer.
2. Verify redundant paths (dual WAN, diverse carriers).
3. Confirm redundant devices (HA pairs).
4. Verify physical route diversity.</t>
        </is>
      </c>
      <c r="F9" s="7" t="inlineStr">
        <is>
          <t>Network topology with redundancy; Carrier diversity docs; HA configuration evidence</t>
        </is>
      </c>
      <c r="G9" s="7" t="inlineStr">
        <is>
          <t>Inspection</t>
        </is>
      </c>
      <c r="H9" s="7" t="inlineStr"/>
      <c r="I9" s="7" t="inlineStr"/>
      <c r="J9" s="7" t="inlineStr"/>
      <c r="K9" s="7" t="inlineStr"/>
      <c r="L9" s="7" t="inlineStr"/>
      <c r="M9" s="7" t="inlineStr"/>
    </row>
    <row r="10">
      <c r="A10" s="7" t="inlineStr">
        <is>
          <t>NRA-05</t>
        </is>
      </c>
      <c r="B10" s="7" t="inlineStr">
        <is>
          <t>PLATFORM</t>
        </is>
      </c>
      <c r="C10" s="7" t="inlineStr">
        <is>
          <t>Network Resilience</t>
        </is>
      </c>
      <c r="D10" s="7" t="inlineStr">
        <is>
          <t>Failover testing</t>
        </is>
      </c>
      <c r="E10" s="7" t="inlineStr">
        <is>
          <t>1. Obtain failover test plan.
2. Review most recent tests (WAN, internet, core switches, firewalls).
3. Verify failover within acceptable times.
4. Check failures remediated.
5. Confirm realistic failure simulation.</t>
        </is>
      </c>
      <c r="F10" s="7" t="inlineStr">
        <is>
          <t>Failover test plans; Test execution reports; Remediation records</t>
        </is>
      </c>
      <c r="G10" s="7" t="inlineStr">
        <is>
          <t>Inspection</t>
        </is>
      </c>
      <c r="H10" s="7" t="inlineStr"/>
      <c r="I10" s="7" t="inlineStr"/>
      <c r="J10" s="7" t="inlineStr"/>
      <c r="K10" s="7" t="inlineStr"/>
      <c r="L10" s="7" t="inlineStr"/>
      <c r="M10" s="7" t="inlineStr"/>
    </row>
    <row r="11">
      <c r="A11" s="7" t="inlineStr">
        <is>
          <t>NRA-06</t>
        </is>
      </c>
      <c r="B11" s="7" t="inlineStr">
        <is>
          <t>ORG</t>
        </is>
      </c>
      <c r="C11" s="7" t="inlineStr">
        <is>
          <t>Network Resilience</t>
        </is>
      </c>
      <c r="D11" s="7" t="inlineStr">
        <is>
          <t>Network DR</t>
        </is>
      </c>
      <c r="E11" s="7" t="inlineStr">
        <is>
          <t>1. Review network DR plan.
2. Verify recovery procedures per critical segment.
3. Check network DR tested in DR exercises.
4. Confirm network RTO aligns with business requirements.</t>
        </is>
      </c>
      <c r="F11" s="7" t="inlineStr">
        <is>
          <t>Network DR plan; DR test results (network); RTO alignment mapping</t>
        </is>
      </c>
      <c r="G11" s="7" t="inlineStr">
        <is>
          <t>Inspection</t>
        </is>
      </c>
      <c r="H11" s="7" t="inlineStr"/>
      <c r="I11" s="7" t="inlineStr"/>
      <c r="J11" s="7" t="inlineStr"/>
      <c r="K11" s="7" t="inlineStr"/>
      <c r="L11" s="7" t="inlineStr"/>
      <c r="M11" s="7" t="inlineStr"/>
    </row>
    <row r="12">
      <c r="A12" s="7" t="inlineStr">
        <is>
          <t>NRA-07</t>
        </is>
      </c>
      <c r="B12" s="7" t="inlineStr">
        <is>
          <t>PLATFORM</t>
        </is>
      </c>
      <c r="C12" s="7" t="inlineStr">
        <is>
          <t>Network Resilience</t>
        </is>
      </c>
      <c r="D12" s="7" t="inlineStr">
        <is>
          <t>Carrier/ISP management</t>
        </is>
      </c>
      <c r="E12" s="7" t="inlineStr">
        <is>
          <t>1. Review carrier contracts and SLAs.
2. Verify at least two independent carriers.
3. Check carrier performance against SLAs (12 months).
4. Confirm escalation procedures.</t>
        </is>
      </c>
      <c r="F12" s="7" t="inlineStr">
        <is>
          <t>Carrier contracts; Carrier diversity mapping; Performance reports; Escalation contacts</t>
        </is>
      </c>
      <c r="G12" s="7" t="inlineStr">
        <is>
          <t>Inspection</t>
        </is>
      </c>
      <c r="H12" s="7" t="inlineStr"/>
      <c r="I12" s="7" t="inlineStr"/>
      <c r="J12" s="7" t="inlineStr"/>
      <c r="K12" s="7" t="inlineStr"/>
      <c r="L12" s="7" t="inlineStr"/>
      <c r="M12" s="7" t="inlineStr"/>
    </row>
    <row r="13">
      <c r="A13" s="11" t="inlineStr">
        <is>
          <t>Domain 3 — Network Monitoring and Traffic Analysis (10.39)</t>
        </is>
      </c>
      <c r="B13" s="12" t="n"/>
      <c r="C13" s="12" t="n"/>
      <c r="D13" s="12" t="n"/>
      <c r="E13" s="12" t="n"/>
      <c r="F13" s="12" t="n"/>
      <c r="G13" s="12" t="n"/>
      <c r="H13" s="12" t="n"/>
      <c r="I13" s="12" t="n"/>
      <c r="J13" s="12" t="n"/>
      <c r="K13" s="12" t="n"/>
      <c r="L13" s="12" t="n"/>
      <c r="M13" s="12" t="n"/>
    </row>
    <row r="14">
      <c r="A14" s="13" t="inlineStr">
        <is>
          <t>Network visibility enables performance management and threat detection. Expect comprehensive monitoring, flow analysis, anomaly detection, trend reporting. Unmonitored networks hide performance degradation and security threats.</t>
        </is>
      </c>
      <c r="B14" s="14" t="n"/>
      <c r="C14" s="14" t="n"/>
      <c r="D14" s="14" t="n"/>
      <c r="E14" s="14" t="n"/>
      <c r="F14" s="14" t="n"/>
      <c r="G14" s="14" t="n"/>
      <c r="H14" s="14" t="n"/>
      <c r="I14" s="14" t="n"/>
      <c r="J14" s="14" t="n"/>
      <c r="K14" s="14" t="n"/>
      <c r="L14" s="14" t="n"/>
      <c r="M14" s="14" t="n"/>
    </row>
    <row r="15">
      <c r="A15" s="7" t="inlineStr">
        <is>
          <t>NRA-08</t>
        </is>
      </c>
      <c r="B15" s="7" t="inlineStr">
        <is>
          <t>PLATFORM</t>
        </is>
      </c>
      <c r="C15" s="7" t="inlineStr">
        <is>
          <t>Network Monitoring</t>
        </is>
      </c>
      <c r="D15" s="7" t="inlineStr">
        <is>
          <t>Comprehensive monitoring</t>
        </is>
      </c>
      <c r="E15" s="7" t="inlineStr">
        <is>
          <t>1. Obtain monitoring tool inventory.
2. Verify all critical devices/links monitored.
3. Check parameter coverage (availability, performance, errors).
4. Confirm 24/7 alerting to NOC.</t>
        </is>
      </c>
      <c r="F15" s="7" t="inlineStr">
        <is>
          <t>Monitoring tool inventory; Device coverage report; Parameter coverage matrix; NOC alerting config</t>
        </is>
      </c>
      <c r="G15" s="7" t="inlineStr">
        <is>
          <t>Inspection</t>
        </is>
      </c>
      <c r="H15" s="7" t="inlineStr"/>
      <c r="I15" s="7" t="inlineStr"/>
      <c r="J15" s="7" t="inlineStr"/>
      <c r="K15" s="7" t="inlineStr"/>
      <c r="L15" s="7" t="inlineStr"/>
      <c r="M15" s="7" t="inlineStr"/>
    </row>
    <row r="16">
      <c r="A16" s="7" t="inlineStr">
        <is>
          <t>NRA-09</t>
        </is>
      </c>
      <c r="B16" s="7" t="inlineStr">
        <is>
          <t>PLATFORM</t>
        </is>
      </c>
      <c r="C16" s="7" t="inlineStr">
        <is>
          <t>Network Monitoring</t>
        </is>
      </c>
      <c r="D16" s="7" t="inlineStr">
        <is>
          <t>Traffic analysis and anomaly detection</t>
        </is>
      </c>
      <c r="E16" s="7" t="inlineStr">
        <is>
          <t>1. Confirm flow analysis tools deployed.
2. Review traffic baselines and anomaly thresholds.
3. Sample 5 anomaly alerts — verify investigation.
4. Verify SIEM/SOC integration.</t>
        </is>
      </c>
      <c r="F16" s="7" t="inlineStr">
        <is>
          <t>Flow analysis config; Traffic baselines; Sample anomaly investigation; SIEM integration</t>
        </is>
      </c>
      <c r="G16" s="7" t="inlineStr">
        <is>
          <t>Inspection</t>
        </is>
      </c>
      <c r="H16" s="7" t="inlineStr"/>
      <c r="I16" s="7" t="inlineStr"/>
      <c r="J16" s="7" t="inlineStr"/>
      <c r="K16" s="7" t="inlineStr"/>
      <c r="L16" s="7" t="inlineStr"/>
      <c r="M16" s="7" t="inlineStr"/>
    </row>
    <row r="17">
      <c r="A17" s="7" t="inlineStr">
        <is>
          <t>NRA-10</t>
        </is>
      </c>
      <c r="B17" s="7" t="inlineStr">
        <is>
          <t>ORG</t>
        </is>
      </c>
      <c r="C17" s="7" t="inlineStr">
        <is>
          <t>Network Monitoring</t>
        </is>
      </c>
      <c r="D17" s="7" t="inlineStr">
        <is>
          <t>Performance trend analysis</t>
        </is>
      </c>
      <c r="E17" s="7" t="inlineStr">
        <is>
          <t>1. Obtain regular performance reports.
2. Verify trend analysis (utilisation, latency, availability).
3. Check trends inform capacity planning.
4. Confirm management review.</t>
        </is>
      </c>
      <c r="F17" s="7" t="inlineStr">
        <is>
          <t>Performance reports; Trend analysis dashboards; Management review records</t>
        </is>
      </c>
      <c r="G17" s="7" t="inlineStr">
        <is>
          <t>Inspection</t>
        </is>
      </c>
      <c r="H17" s="7" t="inlineStr"/>
      <c r="I17" s="7" t="inlineStr"/>
      <c r="J17" s="7" t="inlineStr"/>
      <c r="K17" s="7" t="inlineStr"/>
      <c r="L17" s="7" t="inlineStr"/>
      <c r="M17" s="7" t="inlineStr"/>
    </row>
    <row r="18">
      <c r="A18" s="11" t="inlineStr">
        <is>
          <t>Domain 4 — Network Confidentiality, Integrity, Availability (10.40)</t>
        </is>
      </c>
      <c r="B18" s="12" t="n"/>
      <c r="C18" s="12" t="n"/>
      <c r="D18" s="12" t="n"/>
      <c r="E18" s="12" t="n"/>
      <c r="F18" s="12" t="n"/>
      <c r="G18" s="12" t="n"/>
      <c r="H18" s="12" t="n"/>
      <c r="I18" s="12" t="n"/>
      <c r="J18" s="12" t="n"/>
      <c r="K18" s="12" t="n"/>
      <c r="L18" s="12" t="n"/>
      <c r="M18" s="12" t="n"/>
    </row>
    <row r="19">
      <c r="A19" s="13" t="inlineStr">
        <is>
          <t>Network confidentiality, integrity, and availability require layered controls. Expect encryption, NAC, device hardening, configuration integrity monitoring. Network compromise provides access to all connected systems.</t>
        </is>
      </c>
      <c r="B19" s="14" t="n"/>
      <c r="C19" s="14" t="n"/>
      <c r="D19" s="14" t="n"/>
      <c r="E19" s="14" t="n"/>
      <c r="F19" s="14" t="n"/>
      <c r="G19" s="14" t="n"/>
      <c r="H19" s="14" t="n"/>
      <c r="I19" s="14" t="n"/>
      <c r="J19" s="14" t="n"/>
      <c r="K19" s="14" t="n"/>
      <c r="L19" s="14" t="n"/>
      <c r="M19" s="14" t="n"/>
    </row>
    <row r="20">
      <c r="A20" s="7" t="inlineStr">
        <is>
          <t>NRA-11</t>
        </is>
      </c>
      <c r="B20" s="7" t="inlineStr">
        <is>
          <t>PLATFORM</t>
        </is>
      </c>
      <c r="C20" s="7" t="inlineStr">
        <is>
          <t>Network Security</t>
        </is>
      </c>
      <c r="D20" s="7" t="inlineStr">
        <is>
          <t>Encryption in transit</t>
        </is>
      </c>
      <c r="E20" s="7" t="inlineStr">
        <is>
          <t>1. Identify links over untrusted networks.
2. Verify encryption (IPSec, TLS, MACsec).
3. Check standards (TLS 1.2+, AES-256).
4. Verify certificate management.</t>
        </is>
      </c>
      <c r="F20" s="7" t="inlineStr">
        <is>
          <t>Encryption standards policy; VPN/TLS config; Certificate inventory</t>
        </is>
      </c>
      <c r="G20" s="7" t="inlineStr">
        <is>
          <t>Inspection</t>
        </is>
      </c>
      <c r="H20" s="7" t="inlineStr"/>
      <c r="I20" s="7" t="inlineStr"/>
      <c r="J20" s="7" t="inlineStr"/>
      <c r="K20" s="7" t="inlineStr"/>
      <c r="L20" s="7" t="inlineStr"/>
      <c r="M20" s="7" t="inlineStr"/>
    </row>
    <row r="21">
      <c r="A21" s="7" t="inlineStr">
        <is>
          <t>NRA-12</t>
        </is>
      </c>
      <c r="B21" s="7" t="inlineStr">
        <is>
          <t>PLATFORM</t>
        </is>
      </c>
      <c r="C21" s="7" t="inlineStr">
        <is>
          <t>Network Security</t>
        </is>
      </c>
      <c r="D21" s="7" t="inlineStr">
        <is>
          <t>Access controls and authentication</t>
        </is>
      </c>
      <c r="E21" s="7" t="inlineStr">
        <is>
          <t>1. Review NAC mechanisms (802.1X).
2. Verify management access uses RADIUS/TACACS+ with MFA.
3. Check default credentials changed.
4. Verify unused ports disabled.
5. Sample 10 device configs.</t>
        </is>
      </c>
      <c r="F21" s="7" t="inlineStr">
        <is>
          <t>NAC config; RADIUS/TACACS+ config; Sample device configs; Port status reports</t>
        </is>
      </c>
      <c r="G21" s="7" t="inlineStr">
        <is>
          <t>Inspection</t>
        </is>
      </c>
      <c r="H21" s="7" t="inlineStr"/>
      <c r="I21" s="7" t="inlineStr"/>
      <c r="J21" s="7" t="inlineStr"/>
      <c r="K21" s="7" t="inlineStr"/>
      <c r="L21" s="7" t="inlineStr"/>
      <c r="M21" s="7" t="inlineStr"/>
    </row>
    <row r="22">
      <c r="A22" s="7" t="inlineStr">
        <is>
          <t>NRA-13</t>
        </is>
      </c>
      <c r="B22" s="7" t="inlineStr">
        <is>
          <t>PLATFORM</t>
        </is>
      </c>
      <c r="C22" s="7" t="inlineStr">
        <is>
          <t>Network Security</t>
        </is>
      </c>
      <c r="D22" s="7" t="inlineStr">
        <is>
          <t>Configuration integrity</t>
        </is>
      </c>
      <c r="E22" s="7" t="inlineStr">
        <is>
          <t>1. Verify daily config backups.
2. Check drift detection and alerting.
3. Confirm baseline configs exist per device type.
4. Verify secure backup storage.</t>
        </is>
      </c>
      <c r="F22" s="7" t="inlineStr">
        <is>
          <t>Config backup schedule; Drift monitoring tool; Baseline config library; Backup storage</t>
        </is>
      </c>
      <c r="G22" s="7" t="inlineStr">
        <is>
          <t>Inspection</t>
        </is>
      </c>
      <c r="H22" s="7" t="inlineStr"/>
      <c r="I22" s="7" t="inlineStr"/>
      <c r="J22" s="7" t="inlineStr"/>
      <c r="K22" s="7" t="inlineStr"/>
      <c r="L22" s="7" t="inlineStr"/>
      <c r="M22" s="7" t="inlineStr"/>
    </row>
    <row r="23">
      <c r="A23" s="11" t="inlineStr">
        <is>
          <t>Domain 5 — Network Design Blueprint (10.41)</t>
        </is>
      </c>
      <c r="B23" s="12" t="n"/>
      <c r="C23" s="12" t="n"/>
      <c r="D23" s="12" t="n"/>
      <c r="E23" s="12" t="n"/>
      <c r="F23" s="12" t="n"/>
      <c r="G23" s="12" t="n"/>
      <c r="H23" s="12" t="n"/>
      <c r="I23" s="12" t="n"/>
      <c r="J23" s="12" t="n"/>
      <c r="K23" s="12" t="n"/>
      <c r="L23" s="12" t="n"/>
      <c r="M23" s="12" t="n"/>
    </row>
    <row r="24">
      <c r="A24" s="13" t="inlineStr">
        <is>
          <t>A current network blueprint is essential for security and change management. Expect a comprehensive, version-controlled, approved blueprint. Stale blueprints lead to security gaps and uncontrolled changes.</t>
        </is>
      </c>
      <c r="B24" s="14" t="n"/>
      <c r="C24" s="14" t="n"/>
      <c r="D24" s="14" t="n"/>
      <c r="E24" s="14" t="n"/>
      <c r="F24" s="14" t="n"/>
      <c r="G24" s="14" t="n"/>
      <c r="H24" s="14" t="n"/>
      <c r="I24" s="14" t="n"/>
      <c r="J24" s="14" t="n"/>
      <c r="K24" s="14" t="n"/>
      <c r="L24" s="14" t="n"/>
      <c r="M24" s="14" t="n"/>
    </row>
    <row r="25">
      <c r="A25" s="7" t="inlineStr">
        <is>
          <t>NRA-14</t>
        </is>
      </c>
      <c r="B25" s="7" t="inlineStr">
        <is>
          <t>ORG</t>
        </is>
      </c>
      <c r="C25" s="7" t="inlineStr">
        <is>
          <t>Network Blueprint</t>
        </is>
      </c>
      <c r="D25" s="7" t="inlineStr">
        <is>
          <t>Current blueprint</t>
        </is>
      </c>
      <c r="E25" s="7" t="inlineStr">
        <is>
          <t>1. Obtain network design blueprint.
2. Verify it covers: logical/physical topology, IP addressing, VLAN design, routing, security zones, external connectivity.
3. Check it reflects current state.
4. Verify version-controlled.</t>
        </is>
      </c>
      <c r="F25" s="7" t="inlineStr">
        <is>
          <t>Network design blueprint; Version history; Change control records</t>
        </is>
      </c>
      <c r="G25" s="7" t="inlineStr">
        <is>
          <t>Inspection</t>
        </is>
      </c>
      <c r="H25" s="7" t="inlineStr"/>
      <c r="I25" s="7" t="inlineStr"/>
      <c r="J25" s="7" t="inlineStr"/>
      <c r="K25" s="7" t="inlineStr"/>
      <c r="L25" s="7" t="inlineStr"/>
      <c r="M25" s="7" t="inlineStr"/>
    </row>
    <row r="26">
      <c r="A26" s="7" t="inlineStr">
        <is>
          <t>NRA-15</t>
        </is>
      </c>
      <c r="B26" s="7" t="inlineStr">
        <is>
          <t>ORG</t>
        </is>
      </c>
      <c r="C26" s="7" t="inlineStr">
        <is>
          <t>Network Blueprint</t>
        </is>
      </c>
      <c r="D26" s="7" t="inlineStr">
        <is>
          <t>Review and approval</t>
        </is>
      </c>
      <c r="E26" s="7" t="inlineStr">
        <is>
          <t>1. Check blueprint approved by appropriate authority.
2. Verify reviewed at least annually.
3. Confirm accessible to relevant teams.</t>
        </is>
      </c>
      <c r="F26" s="7" t="inlineStr">
        <is>
          <t>Approval records; Review schedule; Access/distribution records</t>
        </is>
      </c>
      <c r="G26" s="7" t="inlineStr">
        <is>
          <t>Inspection</t>
        </is>
      </c>
      <c r="H26" s="7" t="inlineStr"/>
      <c r="I26" s="7" t="inlineStr"/>
      <c r="J26" s="7" t="inlineStr"/>
      <c r="K26" s="7" t="inlineStr"/>
      <c r="L26" s="7" t="inlineStr"/>
      <c r="M26" s="7" t="inlineStr"/>
    </row>
    <row r="27">
      <c r="A27" s="11" t="inlineStr">
        <is>
          <t>Domain 6 — Network Device Logging (10.42)</t>
        </is>
      </c>
      <c r="B27" s="12" t="n"/>
      <c r="C27" s="12" t="n"/>
      <c r="D27" s="12" t="n"/>
      <c r="E27" s="12" t="n"/>
      <c r="F27" s="12" t="n"/>
      <c r="G27" s="12" t="n"/>
      <c r="H27" s="12" t="n"/>
      <c r="I27" s="12" t="n"/>
      <c r="J27" s="12" t="n"/>
      <c r="K27" s="12" t="n"/>
      <c r="L27" s="12" t="n"/>
      <c r="M27" s="12" t="n"/>
    </row>
    <row r="28">
      <c r="A28" s="13" t="inlineStr">
        <is>
          <t>Network device logging supports incident investigation and compliance. Expect centralised, tamper-protected, time-synchronised logs with defined retention. Without logs, incidents cannot be investigated.</t>
        </is>
      </c>
      <c r="B28" s="14" t="n"/>
      <c r="C28" s="14" t="n"/>
      <c r="D28" s="14" t="n"/>
      <c r="E28" s="14" t="n"/>
      <c r="F28" s="14" t="n"/>
      <c r="G28" s="14" t="n"/>
      <c r="H28" s="14" t="n"/>
      <c r="I28" s="14" t="n"/>
      <c r="J28" s="14" t="n"/>
      <c r="K28" s="14" t="n"/>
      <c r="L28" s="14" t="n"/>
      <c r="M28" s="14" t="n"/>
    </row>
    <row r="29">
      <c r="A29" s="7" t="inlineStr">
        <is>
          <t>NRA-16</t>
        </is>
      </c>
      <c r="B29" s="7" t="inlineStr">
        <is>
          <t>PLATFORM</t>
        </is>
      </c>
      <c r="C29" s="7" t="inlineStr">
        <is>
          <t>Network Logging</t>
        </is>
      </c>
      <c r="D29" s="7" t="inlineStr">
        <is>
          <t>Comprehensive logging</t>
        </is>
      </c>
      <c r="E29" s="7" t="inlineStr">
        <is>
          <t>1. Review logging config on 10 sample devices.
2. Verify security events logged (auth, config changes, ACL, admin actions).
3. Confirm centralised log management.
4. Verify NTP synchronisation.</t>
        </is>
      </c>
      <c r="F29" s="7" t="inlineStr">
        <is>
          <t>Sample device logging configs; Centralised log system; NTP config</t>
        </is>
      </c>
      <c r="G29" s="7" t="inlineStr">
        <is>
          <t>Inspection</t>
        </is>
      </c>
      <c r="H29" s="7" t="inlineStr"/>
      <c r="I29" s="7" t="inlineStr"/>
      <c r="J29" s="7" t="inlineStr"/>
      <c r="K29" s="7" t="inlineStr"/>
      <c r="L29" s="7" t="inlineStr"/>
      <c r="M29" s="7" t="inlineStr"/>
    </row>
    <row r="30">
      <c r="A30" s="7" t="inlineStr">
        <is>
          <t>NRA-17</t>
        </is>
      </c>
      <c r="B30" s="7" t="inlineStr">
        <is>
          <t>ORG</t>
        </is>
      </c>
      <c r="C30" s="7" t="inlineStr">
        <is>
          <t>Network Logging</t>
        </is>
      </c>
      <c r="D30" s="7" t="inlineStr">
        <is>
          <t>Log retention and review</t>
        </is>
      </c>
      <c r="E30" s="7" t="inlineStr">
        <is>
          <t>1. Check retention against policy (min 12 months online).
2. Verify tamper protection.
3. Confirm logs reviewed through SIEM or manual process.
4. Sample 5 events and trace to response.</t>
        </is>
      </c>
      <c r="F30" s="7" t="inlineStr">
        <is>
          <t>Log retention policy; Log protection mechanisms; SIEM rules; Sample event investigation records</t>
        </is>
      </c>
      <c r="G30" s="7" t="inlineStr">
        <is>
          <t>Inspection</t>
        </is>
      </c>
      <c r="H30" s="7" t="inlineStr"/>
      <c r="I30" s="7" t="inlineStr"/>
      <c r="J30" s="7" t="inlineStr"/>
      <c r="K30" s="7" t="inlineStr"/>
      <c r="L30" s="7" t="inlineStr"/>
      <c r="M30" s="7" t="inlineStr"/>
    </row>
    <row r="31">
      <c r="A31" s="11" t="inlineStr">
        <is>
          <t>Domain 7 — Network Segmentation (10.43)</t>
        </is>
      </c>
      <c r="B31" s="12" t="n"/>
      <c r="C31" s="12" t="n"/>
      <c r="D31" s="12" t="n"/>
      <c r="E31" s="12" t="n"/>
      <c r="F31" s="12" t="n"/>
      <c r="G31" s="12" t="n"/>
      <c r="H31" s="12" t="n"/>
      <c r="I31" s="12" t="n"/>
      <c r="J31" s="12" t="n"/>
      <c r="K31" s="12" t="n"/>
      <c r="L31" s="12" t="n"/>
      <c r="M31" s="12" t="n"/>
    </row>
    <row r="32">
      <c r="A32" s="13" t="inlineStr">
        <is>
          <t>Network segmentation limits blast radius and lateral movement. Expect zone-based segmentation, micro-segmentation for critical assets, wireless isolation. Flat networks allow unrestricted lateral movement.</t>
        </is>
      </c>
      <c r="B32" s="14" t="n"/>
      <c r="C32" s="14" t="n"/>
      <c r="D32" s="14" t="n"/>
      <c r="E32" s="14" t="n"/>
      <c r="F32" s="14" t="n"/>
      <c r="G32" s="14" t="n"/>
      <c r="H32" s="14" t="n"/>
      <c r="I32" s="14" t="n"/>
      <c r="J32" s="14" t="n"/>
      <c r="K32" s="14" t="n"/>
      <c r="L32" s="14" t="n"/>
      <c r="M32" s="14" t="n"/>
    </row>
    <row r="33">
      <c r="A33" s="7" t="inlineStr">
        <is>
          <t>NRA-18</t>
        </is>
      </c>
      <c r="B33" s="7" t="inlineStr">
        <is>
          <t>PLATFORM</t>
        </is>
      </c>
      <c r="C33" s="7" t="inlineStr">
        <is>
          <t>Segmentation</t>
        </is>
      </c>
      <c r="D33" s="7" t="inlineStr">
        <is>
          <t>Segmentation strategy</t>
        </is>
      </c>
      <c r="E33" s="7" t="inlineStr">
        <is>
          <t>1. Obtain segmentation policy and design.
2. Verify: prod vs non-prod, internal vs DMZ, PCI zones, guest/IoT.
3. Review firewall/ACL rules.
4. Conduct sample traffic flow tests.</t>
        </is>
      </c>
      <c r="F33" s="7" t="inlineStr">
        <is>
          <t>Segmentation policy; Firewall/ACL rule sets; Traffic flow test results</t>
        </is>
      </c>
      <c r="G33" s="7" t="inlineStr">
        <is>
          <t>Inspection</t>
        </is>
      </c>
      <c r="H33" s="7" t="inlineStr"/>
      <c r="I33" s="7" t="inlineStr"/>
      <c r="J33" s="7" t="inlineStr"/>
      <c r="K33" s="7" t="inlineStr"/>
      <c r="L33" s="7" t="inlineStr"/>
      <c r="M33" s="7" t="inlineStr"/>
    </row>
    <row r="34">
      <c r="A34" s="7" t="inlineStr">
        <is>
          <t>NRA-19</t>
        </is>
      </c>
      <c r="B34" s="7" t="inlineStr">
        <is>
          <t>PLATFORM</t>
        </is>
      </c>
      <c r="C34" s="7" t="inlineStr">
        <is>
          <t>Segmentation</t>
        </is>
      </c>
      <c r="D34" s="7" t="inlineStr">
        <is>
          <t>Micro-segmentation for critical assets</t>
        </is>
      </c>
      <c r="E34" s="7" t="inlineStr">
        <is>
          <t>1. Identify most critical segments.
2. Verify additional controls beyond standard segmentation.
3. Check application-layer segmentation.
4. Verify explicit authorisation required.</t>
        </is>
      </c>
      <c r="F34" s="7" t="inlineStr">
        <is>
          <t>Critical segment identification; Additional segmentation controls; Access authorisation records</t>
        </is>
      </c>
      <c r="G34" s="7" t="inlineStr">
        <is>
          <t>Inspection</t>
        </is>
      </c>
      <c r="H34" s="7" t="inlineStr"/>
      <c r="I34" s="7" t="inlineStr"/>
      <c r="J34" s="7" t="inlineStr"/>
      <c r="K34" s="7" t="inlineStr"/>
      <c r="L34" s="7" t="inlineStr"/>
      <c r="M34" s="7" t="inlineStr"/>
    </row>
    <row r="35">
      <c r="A35" s="7" t="inlineStr">
        <is>
          <t>NRA-20</t>
        </is>
      </c>
      <c r="B35" s="7" t="inlineStr">
        <is>
          <t>PLATFORM</t>
        </is>
      </c>
      <c r="C35" s="7" t="inlineStr">
        <is>
          <t>Segmentation</t>
        </is>
      </c>
      <c r="D35" s="7" t="inlineStr">
        <is>
          <t>Wireless network security</t>
        </is>
      </c>
      <c r="E35" s="7" t="inlineStr">
        <is>
          <t>1. Identify all wireless networks.
2. Verify segmentation from wired corporate.
3. Check WPA3-Enterprise or WPA2-Enterprise minimum.
4. Verify rogue AP detection.
5. Review wireless security assessment.</t>
        </is>
      </c>
      <c r="F35" s="7" t="inlineStr">
        <is>
          <t>Wireless inventory; Segmentation design; Auth config; Rogue AP detection; Wireless security reports</t>
        </is>
      </c>
      <c r="G35" s="7" t="inlineStr">
        <is>
          <t>Inspection</t>
        </is>
      </c>
      <c r="H35" s="7" t="inlineStr"/>
      <c r="I35" s="7" t="inlineStr"/>
      <c r="J35" s="7" t="inlineStr"/>
      <c r="K35" s="7" t="inlineStr"/>
      <c r="L35" s="7" t="inlineStr"/>
      <c r="M35" s="7" t="inlineStr"/>
    </row>
  </sheetData>
  <mergeCells count="14">
    <mergeCell ref="A13:M13"/>
    <mergeCell ref="A14:M14"/>
    <mergeCell ref="A19:M19"/>
    <mergeCell ref="A23:M23"/>
    <mergeCell ref="A32:M32"/>
    <mergeCell ref="A27:M27"/>
    <mergeCell ref="A8:M8"/>
    <mergeCell ref="A31:M31"/>
    <mergeCell ref="A18:M18"/>
    <mergeCell ref="A3:M3"/>
    <mergeCell ref="A7:M7"/>
    <mergeCell ref="A24:M24"/>
    <mergeCell ref="A2:M2"/>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2"/>
  <sheetViews>
    <sheetView workbookViewId="0">
      <selection activeCell="A1" sqref="A1"/>
    </sheetView>
  </sheetViews>
  <sheetFormatPr baseColWidth="8" defaultRowHeight="15"/>
  <cols>
    <col width="10" customWidth="1" min="1" max="1"/>
    <col width="11" customWidth="1" min="2" max="2"/>
    <col width="20" customWidth="1" min="3" max="3"/>
    <col width="28" customWidth="1" min="4" max="4"/>
    <col width="50" customWidth="1" min="5" max="5"/>
    <col width="35" customWidth="1" min="6" max="6"/>
    <col width="14" customWidth="1" min="7" max="7"/>
    <col width="30" customWidth="1" min="8" max="8"/>
    <col width="25" customWidth="1" min="9" max="9"/>
    <col width="12" customWidth="1" min="10" max="10"/>
    <col width="30" customWidth="1" min="11" max="11"/>
    <col width="16" customWidth="1" min="12" max="12"/>
    <col width="30" customWidth="1" min="13" max="13"/>
  </cols>
  <sheetData>
    <row r="1">
      <c r="A1" s="10" t="inlineStr">
        <is>
          <t>Ref</t>
        </is>
      </c>
      <c r="B1" s="10" t="inlineStr">
        <is>
          <t>Level</t>
        </is>
      </c>
      <c r="C1" s="10" t="inlineStr">
        <is>
          <t>Control</t>
        </is>
      </c>
      <c r="D1" s="10" t="inlineStr">
        <is>
          <t>Sub-Procedure</t>
        </is>
      </c>
      <c r="E1" s="10" t="inlineStr">
        <is>
          <t>Assessment Procedures</t>
        </is>
      </c>
      <c r="F1" s="10" t="inlineStr">
        <is>
          <t>Expected Evidence</t>
        </is>
      </c>
      <c r="G1" s="10" t="inlineStr">
        <is>
          <t>Method</t>
        </is>
      </c>
      <c r="H1" s="10" t="inlineStr">
        <is>
          <t>Procedures Performed</t>
        </is>
      </c>
      <c r="I1" s="10" t="inlineStr">
        <is>
          <t>Evidence Obtained</t>
        </is>
      </c>
      <c r="J1" s="10" t="inlineStr">
        <is>
          <t>Evidence Ref</t>
        </is>
      </c>
      <c r="K1" s="10" t="inlineStr">
        <is>
          <t>Observation / Findings</t>
        </is>
      </c>
      <c r="L1" s="10" t="inlineStr">
        <is>
          <t>Conclusion</t>
        </is>
      </c>
      <c r="M1" s="10" t="inlineStr">
        <is>
          <t>Recommendations</t>
        </is>
      </c>
    </row>
    <row r="2">
      <c r="A2" s="11" t="inlineStr">
        <is>
          <t>Item 1(a) — Access Control</t>
        </is>
      </c>
      <c r="B2" s="12" t="n"/>
      <c r="C2" s="12" t="n"/>
      <c r="D2" s="12" t="n"/>
      <c r="E2" s="12" t="n"/>
      <c r="F2" s="12" t="n"/>
      <c r="G2" s="12" t="n"/>
      <c r="H2" s="12" t="n"/>
      <c r="I2" s="12" t="n"/>
      <c r="J2" s="12" t="n"/>
      <c r="K2" s="12" t="n"/>
      <c r="L2" s="12" t="n"/>
      <c r="M2" s="12" t="n"/>
    </row>
    <row r="3">
      <c r="A3" s="13" t="inlineStr">
        <is>
          <t>Access control is foundational — who can access what. Expect policy-driven provisioning, periodic reviews, PAM controls, timely revocation. Excessive access is the most common audit finding.</t>
        </is>
      </c>
      <c r="B3" s="14" t="n"/>
      <c r="C3" s="14" t="n"/>
      <c r="D3" s="14" t="n"/>
      <c r="E3" s="14" t="n"/>
      <c r="F3" s="14" t="n"/>
      <c r="G3" s="14" t="n"/>
      <c r="H3" s="14" t="n"/>
      <c r="I3" s="14" t="n"/>
      <c r="J3" s="14" t="n"/>
      <c r="K3" s="14" t="n"/>
      <c r="L3" s="14" t="n"/>
      <c r="M3" s="14" t="n"/>
    </row>
    <row r="4">
      <c r="A4" s="7" t="inlineStr">
        <is>
          <t>PD-01</t>
        </is>
      </c>
      <c r="B4" s="7" t="inlineStr">
        <is>
          <t>ORG</t>
        </is>
      </c>
      <c r="C4" s="7" t="inlineStr">
        <is>
          <t>Access Control</t>
        </is>
      </c>
      <c r="D4" s="7" t="inlineStr">
        <is>
          <t>Access control policies and mechanisms</t>
        </is>
      </c>
      <c r="E4" s="7" t="inlineStr">
        <is>
          <t>1. Obtain the FI's access control policy and supporting standards.
2. Verify policy covers user registration, de-registration, access provisioning, and privilege management.
3. Sample 20 user accounts — verify access rights are consistent with job roles (least privilege).
4. Check that access reviews are performed periodically (quarterly for privileged, semi-annually for standard).
5. Verify access revocation upon termination — sample 10 recent leavers/transfers.</t>
        </is>
      </c>
      <c r="F4" s="7" t="inlineStr">
        <is>
          <t>Access control policy; User access provisioning records; Access review reports; HR leaver/transfer list vs. access revocation logs</t>
        </is>
      </c>
      <c r="G4" s="7" t="inlineStr">
        <is>
          <t>Inspection</t>
        </is>
      </c>
      <c r="H4" s="7" t="inlineStr"/>
      <c r="I4" s="7" t="inlineStr"/>
      <c r="J4" s="7" t="inlineStr"/>
      <c r="K4" s="7" t="inlineStr"/>
      <c r="L4" s="7" t="inlineStr"/>
      <c r="M4" s="7" t="inlineStr"/>
    </row>
    <row r="5">
      <c r="A5" s="7" t="inlineStr">
        <is>
          <t>PD-02</t>
        </is>
      </c>
      <c r="B5" s="7" t="inlineStr">
        <is>
          <t>ORG</t>
        </is>
      </c>
      <c r="C5" s="7" t="inlineStr">
        <is>
          <t>Access Control</t>
        </is>
      </c>
      <c r="D5" s="7" t="inlineStr">
        <is>
          <t>Privileged access management</t>
        </is>
      </c>
      <c r="E5" s="7" t="inlineStr">
        <is>
          <t>1. Obtain the PAM policy or standard.
2. Obtain the list of all privileged accounts (system admin, DBA, root, domain admin).
3. Verify privileged accounts are individually assigned or vault-managed with session recording.
4. Check that privileged access is time-bound and subject to approval workflow.
5. Review privileged session logs for the past 3 months for anomalies.</t>
        </is>
      </c>
      <c r="F5" s="7" t="inlineStr">
        <is>
          <t>PAM policy; Privileged account inventory; PAM tool configuration and logs; Session recording samples</t>
        </is>
      </c>
      <c r="G5" s="7" t="inlineStr">
        <is>
          <t>Inspection</t>
        </is>
      </c>
      <c r="H5" s="7" t="inlineStr"/>
      <c r="I5" s="7" t="inlineStr"/>
      <c r="J5" s="7" t="inlineStr"/>
      <c r="K5" s="7" t="inlineStr"/>
      <c r="L5" s="7" t="inlineStr"/>
      <c r="M5" s="7" t="inlineStr"/>
    </row>
    <row r="6">
      <c r="A6" s="11" t="inlineStr">
        <is>
          <t>Item 1(b) — Physical and Environmental Security</t>
        </is>
      </c>
      <c r="B6" s="12" t="n"/>
      <c r="C6" s="12" t="n"/>
      <c r="D6" s="12" t="n"/>
      <c r="E6" s="12" t="n"/>
      <c r="F6" s="12" t="n"/>
      <c r="G6" s="12" t="n"/>
      <c r="H6" s="12" t="n"/>
      <c r="I6" s="12" t="n"/>
      <c r="J6" s="12" t="n"/>
      <c r="K6" s="12" t="n"/>
      <c r="L6" s="12" t="n"/>
      <c r="M6" s="12" t="n"/>
    </row>
    <row r="7">
      <c r="A7" s="13" t="inlineStr">
        <is>
          <t>Physical controls protect technology assets from unauthorised access and environmental threats. Expect multi-layered access, CCTV, environmental monitoring. Physical compromise bypasses logical controls.</t>
        </is>
      </c>
      <c r="B7" s="14" t="n"/>
      <c r="C7" s="14" t="n"/>
      <c r="D7" s="14" t="n"/>
      <c r="E7" s="14" t="n"/>
      <c r="F7" s="14" t="n"/>
      <c r="G7" s="14" t="n"/>
      <c r="H7" s="14" t="n"/>
      <c r="I7" s="14" t="n"/>
      <c r="J7" s="14" t="n"/>
      <c r="K7" s="14" t="n"/>
      <c r="L7" s="14" t="n"/>
      <c r="M7" s="14" t="n"/>
    </row>
    <row r="8">
      <c r="A8" s="7" t="inlineStr">
        <is>
          <t>PD-03</t>
        </is>
      </c>
      <c r="B8" s="7" t="inlineStr">
        <is>
          <t>ORG</t>
        </is>
      </c>
      <c r="C8" s="7" t="inlineStr">
        <is>
          <t>Physical Security</t>
        </is>
      </c>
      <c r="D8" s="7" t="inlineStr">
        <is>
          <t>Physical security controls</t>
        </is>
      </c>
      <c r="E8" s="7" t="inlineStr">
        <is>
          <t>1. Identify all sensitive areas (data centres, server rooms, network rooms).
2. Verify multi-layered physical access controls (badge, biometric, PIN).
3. Review visitor management procedures.
4. Verify CCTV coverage with minimum 90-day retention.
5. Sample-check physical access logs against approved access lists.</t>
        </is>
      </c>
      <c r="F8" s="7" t="inlineStr">
        <is>
          <t>Physical security policy; Access control system config; Visitor logs; CCTV coverage map; Physical access log reconciliation</t>
        </is>
      </c>
      <c r="G8" s="7" t="inlineStr">
        <is>
          <t>Inspection / Observation</t>
        </is>
      </c>
      <c r="H8" s="7" t="inlineStr"/>
      <c r="I8" s="7" t="inlineStr"/>
      <c r="J8" s="7" t="inlineStr"/>
      <c r="K8" s="7" t="inlineStr"/>
      <c r="L8" s="7" t="inlineStr"/>
      <c r="M8" s="7" t="inlineStr"/>
    </row>
    <row r="9">
      <c r="A9" s="7" t="inlineStr">
        <is>
          <t>PD-04</t>
        </is>
      </c>
      <c r="B9" s="7" t="inlineStr">
        <is>
          <t>ORG</t>
        </is>
      </c>
      <c r="C9" s="7" t="inlineStr">
        <is>
          <t>Physical Security</t>
        </is>
      </c>
      <c r="D9" s="7" t="inlineStr">
        <is>
          <t>Environmental controls</t>
        </is>
      </c>
      <c r="E9" s="7" t="inlineStr">
        <is>
          <t>1. Verify fire detection and suppression systems are current on inspections.
2. Check water leak detection.
3. Verify temperature and humidity monitoring with alerts.
4. Confirm environmental incident response procedures are tested.</t>
        </is>
      </c>
      <c r="F9" s="7" t="inlineStr">
        <is>
          <t>Fire system inspection certificates; Water leak detection layout; Environmental monitoring dashboards; Incident response test records</t>
        </is>
      </c>
      <c r="G9" s="7" t="inlineStr">
        <is>
          <t>Inspection / Observation</t>
        </is>
      </c>
      <c r="H9" s="7" t="inlineStr"/>
      <c r="I9" s="7" t="inlineStr"/>
      <c r="J9" s="7" t="inlineStr"/>
      <c r="K9" s="7" t="inlineStr"/>
      <c r="L9" s="7" t="inlineStr"/>
      <c r="M9" s="7" t="inlineStr"/>
    </row>
    <row r="10">
      <c r="A10" s="11" t="inlineStr">
        <is>
          <t>Item 1(c) — Operations Security</t>
        </is>
      </c>
      <c r="B10" s="12" t="n"/>
      <c r="C10" s="12" t="n"/>
      <c r="D10" s="12" t="n"/>
      <c r="E10" s="12" t="n"/>
      <c r="F10" s="12" t="n"/>
      <c r="G10" s="12" t="n"/>
      <c r="H10" s="12" t="n"/>
      <c r="I10" s="12" t="n"/>
      <c r="J10" s="12" t="n"/>
      <c r="K10" s="12" t="n"/>
      <c r="L10" s="12" t="n"/>
      <c r="M10" s="12" t="n"/>
    </row>
    <row r="11">
      <c r="A11" s="13" t="inlineStr">
        <is>
          <t>Operational controls ensure systems are managed securely. Expect documented procedures, controlled changes, tested backups, malware protection, vulnerability management. Operational failures cause avoidable incidents.</t>
        </is>
      </c>
      <c r="B11" s="14" t="n"/>
      <c r="C11" s="14" t="n"/>
      <c r="D11" s="14" t="n"/>
      <c r="E11" s="14" t="n"/>
      <c r="F11" s="14" t="n"/>
      <c r="G11" s="14" t="n"/>
      <c r="H11" s="14" t="n"/>
      <c r="I11" s="14" t="n"/>
      <c r="J11" s="14" t="n"/>
      <c r="K11" s="14" t="n"/>
      <c r="L11" s="14" t="n"/>
      <c r="M11" s="14" t="n"/>
    </row>
    <row r="12">
      <c r="A12" s="7" t="inlineStr">
        <is>
          <t>PD-05</t>
        </is>
      </c>
      <c r="B12" s="7" t="inlineStr">
        <is>
          <t>ORG</t>
        </is>
      </c>
      <c r="C12" s="7" t="inlineStr">
        <is>
          <t>Operations Security</t>
        </is>
      </c>
      <c r="D12" s="7" t="inlineStr">
        <is>
          <t>Operational procedures and controls</t>
        </is>
      </c>
      <c r="E12" s="7" t="inlineStr">
        <is>
          <t>1. Obtain documented operating procedures (change mgmt, capacity mgmt, backup, malware protection).
2. Verify change management — sample 10 changes with full lifecycle.
3. Verify backup procedures — confirm critical systems backed up and restore tested.
4. Verify anti-malware deployed with current signatures.</t>
        </is>
      </c>
      <c r="F12" s="7" t="inlineStr">
        <is>
          <t>Operating procedures; 10 sampled change records; Backup schedule and restore test results; Anti-malware deployment reports</t>
        </is>
      </c>
      <c r="G12" s="7" t="inlineStr">
        <is>
          <t>Inspection</t>
        </is>
      </c>
      <c r="H12" s="7" t="inlineStr"/>
      <c r="I12" s="7" t="inlineStr"/>
      <c r="J12" s="7" t="inlineStr"/>
      <c r="K12" s="7" t="inlineStr"/>
      <c r="L12" s="7" t="inlineStr"/>
      <c r="M12" s="7" t="inlineStr"/>
    </row>
    <row r="13">
      <c r="A13" s="7" t="inlineStr">
        <is>
          <t>PD-06</t>
        </is>
      </c>
      <c r="B13" s="7" t="inlineStr">
        <is>
          <t>ORG</t>
        </is>
      </c>
      <c r="C13" s="7" t="inlineStr">
        <is>
          <t>Operations Security</t>
        </is>
      </c>
      <c r="D13" s="7" t="inlineStr">
        <is>
          <t>Vulnerability management and patching</t>
        </is>
      </c>
      <c r="E13" s="7" t="inlineStr">
        <is>
          <t>1. Obtain vulnerability management policy and patching SLAs.
2. Review most recent vulnerability scan results.
3. Check patch compliance rates.
4. Verify exceptions are formally risk-accepted.</t>
        </is>
      </c>
      <c r="F13" s="7" t="inlineStr">
        <is>
          <t>Vulnerability management policy; Scan reports; Patch compliance dashboard; Risk acceptance records</t>
        </is>
      </c>
      <c r="G13" s="7" t="inlineStr">
        <is>
          <t>Inspection</t>
        </is>
      </c>
      <c r="H13" s="7" t="inlineStr"/>
      <c r="I13" s="7" t="inlineStr"/>
      <c r="J13" s="7" t="inlineStr"/>
      <c r="K13" s="7" t="inlineStr"/>
      <c r="L13" s="7" t="inlineStr"/>
      <c r="M13" s="7" t="inlineStr"/>
    </row>
    <row r="14">
      <c r="A14" s="11" t="inlineStr">
        <is>
          <t>Item 1(d) — Communications Security</t>
        </is>
      </c>
      <c r="B14" s="12" t="n"/>
      <c r="C14" s="12" t="n"/>
      <c r="D14" s="12" t="n"/>
      <c r="E14" s="12" t="n"/>
      <c r="F14" s="12" t="n"/>
      <c r="G14" s="12" t="n"/>
      <c r="H14" s="12" t="n"/>
      <c r="I14" s="12" t="n"/>
      <c r="J14" s="12" t="n"/>
      <c r="K14" s="12" t="n"/>
      <c r="L14" s="12" t="n"/>
      <c r="M14" s="12" t="n"/>
    </row>
    <row r="15">
      <c r="A15" s="13" t="inlineStr">
        <is>
          <t>Network controls protect data in transit and network integrity. Expect segmentation, least-privilege firewall rules, encryption, IDS/IPS. Network compromise provides access to all connected systems.</t>
        </is>
      </c>
      <c r="B15" s="14" t="n"/>
      <c r="C15" s="14" t="n"/>
      <c r="D15" s="14" t="n"/>
      <c r="E15" s="14" t="n"/>
      <c r="F15" s="14" t="n"/>
      <c r="G15" s="14" t="n"/>
      <c r="H15" s="14" t="n"/>
      <c r="I15" s="14" t="n"/>
      <c r="J15" s="14" t="n"/>
      <c r="K15" s="14" t="n"/>
      <c r="L15" s="14" t="n"/>
      <c r="M15" s="14" t="n"/>
    </row>
    <row r="16">
      <c r="A16" s="7" t="inlineStr">
        <is>
          <t>PD-07</t>
        </is>
      </c>
      <c r="B16" s="7" t="inlineStr">
        <is>
          <t>ORG</t>
        </is>
      </c>
      <c r="C16" s="7" t="inlineStr">
        <is>
          <t>Communications Security</t>
        </is>
      </c>
      <c r="D16" s="7" t="inlineStr">
        <is>
          <t>Network security and secure communications</t>
        </is>
      </c>
      <c r="E16" s="7" t="inlineStr">
        <is>
          <t>1. Review network segmentation.
2. Verify firewall rules — sample 20 rules for least-privilege.
3. Confirm encryption of data in transit (TLS 1.2+).
4. Verify secure configuration of email, messaging, file transfer.
5. Check IDS/IPS deployed at critical boundaries.</t>
        </is>
      </c>
      <c r="F16" s="7" t="inlineStr">
        <is>
          <t>Network architecture diagram; Firewall rule base sample; TLS configuration; IDS/IPS deployment and alert records</t>
        </is>
      </c>
      <c r="G16" s="7" t="inlineStr">
        <is>
          <t>Inspection</t>
        </is>
      </c>
      <c r="H16" s="7" t="inlineStr"/>
      <c r="I16" s="7" t="inlineStr"/>
      <c r="J16" s="7" t="inlineStr"/>
      <c r="K16" s="7" t="inlineStr"/>
      <c r="L16" s="7" t="inlineStr"/>
      <c r="M16" s="7" t="inlineStr"/>
    </row>
    <row r="17">
      <c r="A17" s="11" t="inlineStr">
        <is>
          <t>Item 1(e) — Incident Management</t>
        </is>
      </c>
      <c r="B17" s="12" t="n"/>
      <c r="C17" s="12" t="n"/>
      <c r="D17" s="12" t="n"/>
      <c r="E17" s="12" t="n"/>
      <c r="F17" s="12" t="n"/>
      <c r="G17" s="12" t="n"/>
      <c r="H17" s="12" t="n"/>
      <c r="I17" s="12" t="n"/>
      <c r="J17" s="12" t="n"/>
      <c r="K17" s="12" t="n"/>
      <c r="L17" s="12" t="n"/>
      <c r="M17" s="12" t="n"/>
    </row>
    <row r="18">
      <c r="A18" s="13" t="inlineStr">
        <is>
          <t>Incident management ensures timely detection, response, and recovery. Expect 24/7 SOC, SIEM, IR playbooks, annual exercises. Without incident management, breaches escalate unchecked.</t>
        </is>
      </c>
      <c r="B18" s="14" t="n"/>
      <c r="C18" s="14" t="n"/>
      <c r="D18" s="14" t="n"/>
      <c r="E18" s="14" t="n"/>
      <c r="F18" s="14" t="n"/>
      <c r="G18" s="14" t="n"/>
      <c r="H18" s="14" t="n"/>
      <c r="I18" s="14" t="n"/>
      <c r="J18" s="14" t="n"/>
      <c r="K18" s="14" t="n"/>
      <c r="L18" s="14" t="n"/>
      <c r="M18" s="14" t="n"/>
    </row>
    <row r="19">
      <c r="A19" s="7" t="inlineStr">
        <is>
          <t>PD-08</t>
        </is>
      </c>
      <c r="B19" s="7" t="inlineStr">
        <is>
          <t>ORG</t>
        </is>
      </c>
      <c r="C19" s="7" t="inlineStr">
        <is>
          <t>Incident Management</t>
        </is>
      </c>
      <c r="D19" s="7" t="inlineStr">
        <is>
          <t>Incident management framework</t>
        </is>
      </c>
      <c r="E19" s="7" t="inlineStr">
        <is>
          <t>1. Obtain incident management policy and procedures.
2. Verify incident classification scheme.
3. Review incident log for past 12 months.
4. Verify RCA for significant incidents with corrective actions.
5. Confirm regulatory notification procedures.</t>
        </is>
      </c>
      <c r="F19" s="7" t="inlineStr">
        <is>
          <t>Incident management policy; Classification matrix; Incident log (12 months); RCA reports; Regulatory notification records</t>
        </is>
      </c>
      <c r="G19" s="7" t="inlineStr">
        <is>
          <t>Inspection</t>
        </is>
      </c>
      <c r="H19" s="7" t="inlineStr"/>
      <c r="I19" s="7" t="inlineStr"/>
      <c r="J19" s="7" t="inlineStr"/>
      <c r="K19" s="7" t="inlineStr"/>
      <c r="L19" s="7" t="inlineStr"/>
      <c r="M19" s="7" t="inlineStr"/>
    </row>
    <row r="20">
      <c r="A20" s="7" t="inlineStr">
        <is>
          <t>PD-09</t>
        </is>
      </c>
      <c r="B20" s="7" t="inlineStr">
        <is>
          <t>ORG</t>
        </is>
      </c>
      <c r="C20" s="7" t="inlineStr">
        <is>
          <t>Incident Management</t>
        </is>
      </c>
      <c r="D20" s="7" t="inlineStr">
        <is>
          <t>Detection and response capabilities</t>
        </is>
      </c>
      <c r="E20" s="7" t="inlineStr">
        <is>
          <t>1. Confirm SOC operates 24/7.
2. Verify SIEM deployment with critical log sources.
3. Sample 15 alerts — verify triage.
4. Confirm IR playbooks for common scenarios.
5. Verify annual IR drills/tabletop exercises.</t>
        </is>
      </c>
      <c r="F20" s="7" t="inlineStr">
        <is>
          <t>SOC operational documentation; SIEM log source inventory; 15 sampled alert records; IR playbooks; Drill/tabletop reports</t>
        </is>
      </c>
      <c r="G20" s="7" t="inlineStr">
        <is>
          <t>Inspection / Inquiry</t>
        </is>
      </c>
      <c r="H20" s="7" t="inlineStr"/>
      <c r="I20" s="7" t="inlineStr"/>
      <c r="J20" s="7" t="inlineStr"/>
      <c r="K20" s="7" t="inlineStr"/>
      <c r="L20" s="7" t="inlineStr"/>
      <c r="M20" s="7" t="inlineStr"/>
    </row>
    <row r="21">
      <c r="A21" s="11" t="inlineStr">
        <is>
          <t>Item 1(f) — Business Continuity</t>
        </is>
      </c>
      <c r="B21" s="12" t="n"/>
      <c r="C21" s="12" t="n"/>
      <c r="D21" s="12" t="n"/>
      <c r="E21" s="12" t="n"/>
      <c r="F21" s="12" t="n"/>
      <c r="G21" s="12" t="n"/>
      <c r="H21" s="12" t="n"/>
      <c r="I21" s="12" t="n"/>
      <c r="J21" s="12" t="n"/>
      <c r="K21" s="12" t="n"/>
      <c r="L21" s="12" t="n"/>
      <c r="M21" s="12" t="n"/>
    </row>
    <row r="22">
      <c r="A22" s="13" t="inlineStr">
        <is>
          <t>Business continuity ensures operations continue during disruptions. Expect BCP/DRP with cyber scenarios, tested DR including security controls, redundant security infrastructure. Untested DR fails when needed.</t>
        </is>
      </c>
      <c r="B22" s="14" t="n"/>
      <c r="C22" s="14" t="n"/>
      <c r="D22" s="14" t="n"/>
      <c r="E22" s="14" t="n"/>
      <c r="F22" s="14" t="n"/>
      <c r="G22" s="14" t="n"/>
      <c r="H22" s="14" t="n"/>
      <c r="I22" s="14" t="n"/>
      <c r="J22" s="14" t="n"/>
      <c r="K22" s="14" t="n"/>
      <c r="L22" s="14" t="n"/>
      <c r="M22" s="14" t="n"/>
    </row>
    <row r="23">
      <c r="A23" s="7" t="inlineStr">
        <is>
          <t>PD-10</t>
        </is>
      </c>
      <c r="B23" s="7" t="inlineStr">
        <is>
          <t>ORG</t>
        </is>
      </c>
      <c r="C23" s="7" t="inlineStr">
        <is>
          <t>Business Continuity</t>
        </is>
      </c>
      <c r="D23" s="7" t="inlineStr">
        <is>
          <t>Security in BCP/DRP</t>
        </is>
      </c>
      <c r="E23" s="7" t="inlineStr">
        <is>
          <t>1. Obtain BCP and IT DRP.
2. Verify security requirements addressed in BCP/DRP.
3. Check BCP/DRP includes cyber incident scenarios.
4. Verify recovery procedures include security validation.</t>
        </is>
      </c>
      <c r="F23" s="7" t="inlineStr">
        <is>
          <t>BCP and IT DRP; Security requirements in BCP/DRP; Cyber incident scenarios; Recovery security validation checklists</t>
        </is>
      </c>
      <c r="G23" s="7" t="inlineStr">
        <is>
          <t>Inspection</t>
        </is>
      </c>
      <c r="H23" s="7" t="inlineStr"/>
      <c r="I23" s="7" t="inlineStr"/>
      <c r="J23" s="7" t="inlineStr"/>
      <c r="K23" s="7" t="inlineStr"/>
      <c r="L23" s="7" t="inlineStr"/>
      <c r="M23" s="7" t="inlineStr"/>
    </row>
    <row r="24">
      <c r="A24" s="7" t="inlineStr">
        <is>
          <t>PD-11</t>
        </is>
      </c>
      <c r="B24" s="7" t="inlineStr">
        <is>
          <t>ORG</t>
        </is>
      </c>
      <c r="C24" s="7" t="inlineStr">
        <is>
          <t>Business Continuity</t>
        </is>
      </c>
      <c r="D24" s="7" t="inlineStr">
        <is>
          <t>BCP/DRP testing with security controls</t>
        </is>
      </c>
      <c r="E24" s="7" t="inlineStr">
        <is>
          <t>1. Review most recent BCP/DRP test.
2. Verify security controls tested during DR exercise.
3. Confirm security findings remediated.
4. Verify DR site maintains equivalent security posture.</t>
        </is>
      </c>
      <c r="F24" s="7" t="inlineStr">
        <is>
          <t>BCP/DRP test plan and results; Security test components; DR site security assessment; Remediation tracker</t>
        </is>
      </c>
      <c r="G24" s="7" t="inlineStr">
        <is>
          <t>Inspection</t>
        </is>
      </c>
      <c r="H24" s="7" t="inlineStr"/>
      <c r="I24" s="7" t="inlineStr"/>
      <c r="J24" s="7" t="inlineStr"/>
      <c r="K24" s="7" t="inlineStr"/>
      <c r="L24" s="7" t="inlineStr"/>
      <c r="M24" s="7" t="inlineStr"/>
    </row>
    <row r="25">
      <c r="A25" s="7" t="inlineStr">
        <is>
          <t>PD-12</t>
        </is>
      </c>
      <c r="B25" s="7" t="inlineStr">
        <is>
          <t>ORG</t>
        </is>
      </c>
      <c r="C25" s="7" t="inlineStr">
        <is>
          <t>Business Continuity</t>
        </is>
      </c>
      <c r="D25" s="7" t="inlineStr">
        <is>
          <t>Redundancy of security infrastructure</t>
        </is>
      </c>
      <c r="E25" s="7" t="inlineStr">
        <is>
          <t>1. Identify critical security infrastructure and verify HA configuration.
2. Confirm failover tested.
3. Verify monitoring continues during DR.
4. Check licenses valid at DR site.</t>
        </is>
      </c>
      <c r="F25" s="7" t="inlineStr">
        <is>
          <t>Security infrastructure HA architecture; Failover test records; DR monitoring evidence; License/subscription records</t>
        </is>
      </c>
      <c r="G25" s="7" t="inlineStr">
        <is>
          <t>Inspection</t>
        </is>
      </c>
      <c r="H25" s="7" t="inlineStr"/>
      <c r="I25" s="7" t="inlineStr"/>
      <c r="J25" s="7" t="inlineStr"/>
      <c r="K25" s="7" t="inlineStr"/>
      <c r="L25" s="7" t="inlineStr"/>
      <c r="M25" s="7" t="inlineStr"/>
    </row>
    <row r="26">
      <c r="A26" s="11" t="inlineStr">
        <is>
          <t>Item 2(a) — Customer Identity Authentication</t>
        </is>
      </c>
      <c r="B26" s="12" t="n"/>
      <c r="C26" s="12" t="n"/>
      <c r="D26" s="12" t="n"/>
      <c r="E26" s="12" t="n"/>
      <c r="F26" s="12" t="n"/>
      <c r="G26" s="12" t="n"/>
      <c r="H26" s="12" t="n"/>
      <c r="I26" s="12" t="n"/>
      <c r="J26" s="12" t="n"/>
      <c r="K26" s="12" t="n"/>
      <c r="L26" s="12" t="n"/>
      <c r="M26" s="12" t="n"/>
    </row>
    <row r="27">
      <c r="A27" s="13" t="inlineStr">
        <is>
          <t>Customer authentication protects online services from unauthorised access. Expect MFA, secure sessions, strong cryptography, anti-session-fixation. Weak authentication directly exposes customers.</t>
        </is>
      </c>
      <c r="B27" s="14" t="n"/>
      <c r="C27" s="14" t="n"/>
      <c r="D27" s="14" t="n"/>
      <c r="E27" s="14" t="n"/>
      <c r="F27" s="14" t="n"/>
      <c r="G27" s="14" t="n"/>
      <c r="H27" s="14" t="n"/>
      <c r="I27" s="14" t="n"/>
      <c r="J27" s="14" t="n"/>
      <c r="K27" s="14" t="n"/>
      <c r="L27" s="14" t="n"/>
      <c r="M27" s="14" t="n"/>
    </row>
    <row r="28">
      <c r="A28" s="7" t="inlineStr">
        <is>
          <t>PD-13</t>
        </is>
      </c>
      <c r="B28" s="7" t="inlineStr">
        <is>
          <t>WORKLOAD</t>
        </is>
      </c>
      <c r="C28" s="7" t="inlineStr">
        <is>
          <t>Customer Authentication</t>
        </is>
      </c>
      <c r="D28" s="7" t="inlineStr">
        <is>
          <t>Session and MITM protection</t>
        </is>
      </c>
      <c r="E28" s="7" t="inlineStr">
        <is>
          <t>1. Review session management controls.
2. Verify TLS 1.2+, HSTS, certificate validity.
3. Confirm session tokens are cryptographically random with proper expiry.
4. Check anti-session-fixation controls.
5. Verify certificate pinning for mobile apps.</t>
        </is>
      </c>
      <c r="F28" s="7" t="inlineStr">
        <is>
          <t>TLS scan results; Session management config; Application security assessment; Mobile cert pinning evidence</t>
        </is>
      </c>
      <c r="G28" s="7" t="inlineStr">
        <is>
          <t>Inspection</t>
        </is>
      </c>
      <c r="H28" s="7" t="inlineStr"/>
      <c r="I28" s="7" t="inlineStr"/>
      <c r="J28" s="7" t="inlineStr"/>
      <c r="K28" s="7" t="inlineStr"/>
      <c r="L28" s="7" t="inlineStr"/>
      <c r="M28" s="7" t="inlineStr"/>
    </row>
    <row r="29">
      <c r="A29" s="7" t="inlineStr">
        <is>
          <t>PD-14</t>
        </is>
      </c>
      <c r="B29" s="7" t="inlineStr">
        <is>
          <t>WORKLOAD</t>
        </is>
      </c>
      <c r="C29" s="7" t="inlineStr">
        <is>
          <t>Customer Authentication</t>
        </is>
      </c>
      <c r="D29" s="7" t="inlineStr">
        <is>
          <t>Internal controls for online systems</t>
        </is>
      </c>
      <c r="E29" s="7" t="inlineStr">
        <is>
          <t>1. Verify application hardening.
2. Review app security testing results (SAST, DAST, pen test).
3. Confirm database security controls.
4. Check segmentation from corporate network.</t>
        </is>
      </c>
      <c r="F29" s="7" t="inlineStr">
        <is>
          <t>Hardening standards; App security test reports; Database security config; Network segmentation evidence</t>
        </is>
      </c>
      <c r="G29" s="7" t="inlineStr">
        <is>
          <t>Inspection</t>
        </is>
      </c>
      <c r="H29" s="7" t="inlineStr"/>
      <c r="I29" s="7" t="inlineStr"/>
      <c r="J29" s="7" t="inlineStr"/>
      <c r="K29" s="7" t="inlineStr"/>
      <c r="L29" s="7" t="inlineStr"/>
      <c r="M29" s="7" t="inlineStr"/>
    </row>
    <row r="30">
      <c r="A30" s="7" t="inlineStr">
        <is>
          <t>PD-15</t>
        </is>
      </c>
      <c r="B30" s="7" t="inlineStr">
        <is>
          <t>WORKLOAD</t>
        </is>
      </c>
      <c r="C30" s="7" t="inlineStr">
        <is>
          <t>Customer Authentication</t>
        </is>
      </c>
      <c r="D30" s="7" t="inlineStr">
        <is>
          <t>Multi-level authentication</t>
        </is>
      </c>
      <c r="E30" s="7" t="inlineStr">
        <is>
          <t>1. Review authentication architecture.
2. Verify MFA for login and high-risk transactions.
3. Check out-of-band authentication mechanisms.
4. Verify real-time verification for high-value transactions.
5. Assess authentication strength relative to transaction risk.</t>
        </is>
      </c>
      <c r="F30" s="7" t="inlineStr">
        <is>
          <t>Authentication architecture; MFA config; OTP/out-of-band mechanism; Risk-based authentication rules</t>
        </is>
      </c>
      <c r="G30" s="7" t="inlineStr">
        <is>
          <t>Inspection</t>
        </is>
      </c>
      <c r="H30" s="7" t="inlineStr"/>
      <c r="I30" s="7" t="inlineStr"/>
      <c r="J30" s="7" t="inlineStr"/>
      <c r="K30" s="7" t="inlineStr"/>
      <c r="L30" s="7" t="inlineStr"/>
      <c r="M30" s="7" t="inlineStr"/>
    </row>
    <row r="31">
      <c r="A31" s="7" t="inlineStr">
        <is>
          <t>PD-16</t>
        </is>
      </c>
      <c r="B31" s="7" t="inlineStr">
        <is>
          <t>WORKLOAD</t>
        </is>
      </c>
      <c r="C31" s="7" t="inlineStr">
        <is>
          <t>Customer Authentication</t>
        </is>
      </c>
      <c r="D31" s="7" t="inlineStr">
        <is>
          <t>Session handling and credential storage</t>
        </is>
      </c>
      <c r="E31" s="7" t="inlineStr">
        <is>
          <t>1. Verify session timeouts (idle and absolute).
2. Confirm concurrent session controls.
3. Verify credentials stored with strong hashing (bcrypt, Argon2).
4. Check auth database access-restricted and encrypted.
5. Review account lockout configuration.</t>
        </is>
      </c>
      <c r="F31" s="7" t="inlineStr">
        <is>
          <t>Session management config; Password hashing evidence; Auth database access controls; Account lockout config</t>
        </is>
      </c>
      <c r="G31" s="7" t="inlineStr">
        <is>
          <t>Inspection</t>
        </is>
      </c>
      <c r="H31" s="7" t="inlineStr"/>
      <c r="I31" s="7" t="inlineStr"/>
      <c r="J31" s="7" t="inlineStr"/>
      <c r="K31" s="7" t="inlineStr"/>
      <c r="L31" s="7" t="inlineStr"/>
      <c r="M31" s="7" t="inlineStr"/>
    </row>
    <row r="32">
      <c r="A32" s="7" t="inlineStr">
        <is>
          <t>PD-17</t>
        </is>
      </c>
      <c r="B32" s="7" t="inlineStr">
        <is>
          <t>ORG</t>
        </is>
      </c>
      <c r="C32" s="7" t="inlineStr">
        <is>
          <t>Customer Authentication</t>
        </is>
      </c>
      <c r="D32" s="7" t="inlineStr">
        <is>
          <t>Cryptographic implementation</t>
        </is>
      </c>
      <c r="E32" s="7" t="inlineStr">
        <is>
          <t>1. Review cryptographic standards (AES-256, RSA-2048+, ECDSA P-256+).
2. Verify key management practices.
3. Check no deprecated algorithms.
4. Verify crypto implementation reviewed/tested.</t>
        </is>
      </c>
      <c r="F32" s="7" t="inlineStr">
        <is>
          <t>Cryptographic standards document; Key management procedures; HSM config; Crypto assessment results</t>
        </is>
      </c>
      <c r="G32" s="7" t="inlineStr">
        <is>
          <t>Inspection</t>
        </is>
      </c>
      <c r="H32" s="7" t="inlineStr"/>
      <c r="I32" s="7" t="inlineStr"/>
      <c r="J32" s="7" t="inlineStr"/>
      <c r="K32" s="7" t="inlineStr"/>
      <c r="L32" s="7" t="inlineStr"/>
      <c r="M32" s="7" t="inlineStr"/>
    </row>
    <row r="33">
      <c r="A33" s="11" t="inlineStr">
        <is>
          <t>Item 2(b) — Transaction Authentication</t>
        </is>
      </c>
      <c r="B33" s="12" t="n"/>
      <c r="C33" s="12" t="n"/>
      <c r="D33" s="12" t="n"/>
      <c r="E33" s="12" t="n"/>
      <c r="F33" s="12" t="n"/>
      <c r="G33" s="12" t="n"/>
      <c r="H33" s="12" t="n"/>
      <c r="I33" s="12" t="n"/>
      <c r="J33" s="12" t="n"/>
      <c r="K33" s="12" t="n"/>
      <c r="L33" s="12" t="n"/>
      <c r="M33" s="12" t="n"/>
    </row>
    <row r="34">
      <c r="A34" s="13" t="inlineStr">
        <is>
          <t>Transaction authentication ensures non-repudiation and integrity. Expect transaction signing, tamper-evident audit trails, mutual authentication. Without non-repudiation, disputes cannot be resolved.</t>
        </is>
      </c>
      <c r="B34" s="14" t="n"/>
      <c r="C34" s="14" t="n"/>
      <c r="D34" s="14" t="n"/>
      <c r="E34" s="14" t="n"/>
      <c r="F34" s="14" t="n"/>
      <c r="G34" s="14" t="n"/>
      <c r="H34" s="14" t="n"/>
      <c r="I34" s="14" t="n"/>
      <c r="J34" s="14" t="n"/>
      <c r="K34" s="14" t="n"/>
      <c r="L34" s="14" t="n"/>
      <c r="M34" s="14" t="n"/>
    </row>
    <row r="35">
      <c r="A35" s="7" t="inlineStr">
        <is>
          <t>PD-18</t>
        </is>
      </c>
      <c r="B35" s="7" t="inlineStr">
        <is>
          <t>WORKLOAD</t>
        </is>
      </c>
      <c r="C35" s="7" t="inlineStr">
        <is>
          <t>Transaction Authentication</t>
        </is>
      </c>
      <c r="D35" s="7" t="inlineStr">
        <is>
          <t>Proof of origin and integrity</t>
        </is>
      </c>
      <c r="E35" s="7" t="inlineStr">
        <is>
          <t>1. Review transaction signing/MAC mechanisms.
2. Verify records include origin, timestamp, hash, integrity verification.
3. Confirm tamper-evident audit trails.
4. Check logs sufficient for dispute resolution.</t>
        </is>
      </c>
      <c r="F35" s="7" t="inlineStr">
        <is>
          <t>Transaction authentication mechanism; Sample transaction records; Audit trail controls; Log retention policy</t>
        </is>
      </c>
      <c r="G35" s="7" t="inlineStr">
        <is>
          <t>Inspection</t>
        </is>
      </c>
      <c r="H35" s="7" t="inlineStr"/>
      <c r="I35" s="7" t="inlineStr"/>
      <c r="J35" s="7" t="inlineStr"/>
      <c r="K35" s="7" t="inlineStr"/>
      <c r="L35" s="7" t="inlineStr"/>
      <c r="M35" s="7" t="inlineStr"/>
    </row>
    <row r="36">
      <c r="A36" s="7" t="inlineStr">
        <is>
          <t>PD-19</t>
        </is>
      </c>
      <c r="B36" s="7" t="inlineStr">
        <is>
          <t>WORKLOAD</t>
        </is>
      </c>
      <c r="C36" s="7" t="inlineStr">
        <is>
          <t>Transaction Authentication</t>
        </is>
      </c>
      <c r="D36" s="7" t="inlineStr">
        <is>
          <t>Secure delivery and mutual authentication</t>
        </is>
      </c>
      <c r="E36" s="7" t="inlineStr">
        <is>
          <t>1. Verify delivery channel secured end-to-end.
2. Check alerts for high-risk transaction types.
3. Verify mutual authentication for B2B channels.
4. Review triggers for additional authentication.</t>
        </is>
      </c>
      <c r="F36" s="7" t="inlineStr">
        <is>
          <t>Channel security architecture; Transaction alert config; Mutual authentication implementation; Authentication trigger criteria</t>
        </is>
      </c>
      <c r="G36" s="7" t="inlineStr">
        <is>
          <t>Inspection</t>
        </is>
      </c>
      <c r="H36" s="7" t="inlineStr"/>
      <c r="I36" s="7" t="inlineStr"/>
      <c r="J36" s="7" t="inlineStr"/>
      <c r="K36" s="7" t="inlineStr"/>
      <c r="L36" s="7" t="inlineStr"/>
      <c r="M36" s="7" t="inlineStr"/>
    </row>
    <row r="37">
      <c r="A37" s="11" t="inlineStr">
        <is>
          <t>Item 2(c) — Segregation of Duties</t>
        </is>
      </c>
      <c r="B37" s="12" t="n"/>
      <c r="C37" s="12" t="n"/>
      <c r="D37" s="12" t="n"/>
      <c r="E37" s="12" t="n"/>
      <c r="F37" s="12" t="n"/>
      <c r="G37" s="12" t="n"/>
      <c r="H37" s="12" t="n"/>
      <c r="I37" s="12" t="n"/>
      <c r="J37" s="12" t="n"/>
      <c r="K37" s="12" t="n"/>
      <c r="L37" s="12" t="n"/>
      <c r="M37" s="12" t="n"/>
    </row>
    <row r="38">
      <c r="A38" s="13" t="inlineStr">
        <is>
          <t>SoD prevents single-person control over critical operations. Expect maker-checker, privileged user reviews, tamper-resistant authorisation. SoD failures enable fraud.</t>
        </is>
      </c>
      <c r="B38" s="14" t="n"/>
      <c r="C38" s="14" t="n"/>
      <c r="D38" s="14" t="n"/>
      <c r="E38" s="14" t="n"/>
      <c r="F38" s="14" t="n"/>
      <c r="G38" s="14" t="n"/>
      <c r="H38" s="14" t="n"/>
      <c r="I38" s="14" t="n"/>
      <c r="J38" s="14" t="n"/>
      <c r="K38" s="14" t="n"/>
      <c r="L38" s="14" t="n"/>
      <c r="M38" s="14" t="n"/>
    </row>
    <row r="39">
      <c r="A39" s="7" t="inlineStr">
        <is>
          <t>PD-20</t>
        </is>
      </c>
      <c r="B39" s="7" t="inlineStr">
        <is>
          <t>WORKLOAD</t>
        </is>
      </c>
      <c r="C39" s="7" t="inlineStr">
        <is>
          <t>Segregation of Duties</t>
        </is>
      </c>
      <c r="D39" s="7" t="inlineStr">
        <is>
          <t>Dual control for online transactions</t>
        </is>
      </c>
      <c r="E39" s="7" t="inlineStr">
        <is>
          <t>1. Identify critical functions in online transaction systems.
2. Verify maker-checker for critical operations.
3. Review access control matrices — no single user can initiate and approve.
4. Verify unauthorised access detection.</t>
        </is>
      </c>
      <c r="F39" s="7" t="inlineStr">
        <is>
          <t>Access control matrices; Maker-checker config; Dual control workflow; Unauthorised access detection controls</t>
        </is>
      </c>
      <c r="G39" s="7" t="inlineStr">
        <is>
          <t>Inspection</t>
        </is>
      </c>
      <c r="H39" s="7" t="inlineStr"/>
      <c r="I39" s="7" t="inlineStr"/>
      <c r="J39" s="7" t="inlineStr"/>
      <c r="K39" s="7" t="inlineStr"/>
      <c r="L39" s="7" t="inlineStr"/>
      <c r="M39" s="7" t="inlineStr"/>
    </row>
    <row r="40">
      <c r="A40" s="7" t="inlineStr">
        <is>
          <t>PD-21</t>
        </is>
      </c>
      <c r="B40" s="7" t="inlineStr">
        <is>
          <t>WORKLOAD</t>
        </is>
      </c>
      <c r="C40" s="7" t="inlineStr">
        <is>
          <t>Segregation of Duties</t>
        </is>
      </c>
      <c r="D40" s="7" t="inlineStr">
        <is>
          <t>Authorisation database integrity</t>
        </is>
      </c>
      <c r="E40" s="7" t="inlineStr">
        <is>
          <t>1. Verify authorisation database is tamper-resistant.
2. Confirm changes require approval and are logged.
3. Obtain privileged user list — verify quarterly review.
4. Check reviews result in revocation of unnecessary access.</t>
        </is>
      </c>
      <c r="F40" s="7" t="inlineStr">
        <is>
          <t>Auth database access controls; Change logs; Privileged user review records; Revocation evidence</t>
        </is>
      </c>
      <c r="G40" s="7" t="inlineStr">
        <is>
          <t>Inspection</t>
        </is>
      </c>
      <c r="H40" s="7" t="inlineStr"/>
      <c r="I40" s="7" t="inlineStr"/>
      <c r="J40" s="7" t="inlineStr"/>
      <c r="K40" s="7" t="inlineStr"/>
      <c r="L40" s="7" t="inlineStr"/>
      <c r="M40" s="7" t="inlineStr"/>
    </row>
    <row r="41">
      <c r="A41" s="11" t="inlineStr">
        <is>
          <t>Item 2(d) — Data Integrity</t>
        </is>
      </c>
      <c r="B41" s="12" t="n"/>
      <c r="C41" s="12" t="n"/>
      <c r="D41" s="12" t="n"/>
      <c r="E41" s="12" t="n"/>
      <c r="F41" s="12" t="n"/>
      <c r="G41" s="12" t="n"/>
      <c r="H41" s="12" t="n"/>
      <c r="I41" s="12" t="n"/>
      <c r="J41" s="12" t="n"/>
      <c r="K41" s="12" t="n"/>
      <c r="L41" s="12" t="n"/>
      <c r="M41" s="12" t="n"/>
    </row>
    <row r="42">
      <c r="A42" s="13" t="inlineStr">
        <is>
          <t>Data integrity controls prevent tampering and ensure confidentiality. Expect E2E encryption, defence-in-depth, pen testing, audit trails. Data integrity failure causes financial loss and regulatory breach.</t>
        </is>
      </c>
      <c r="B42" s="14" t="n"/>
      <c r="C42" s="14" t="n"/>
      <c r="D42" s="14" t="n"/>
      <c r="E42" s="14" t="n"/>
      <c r="F42" s="14" t="n"/>
      <c r="G42" s="14" t="n"/>
      <c r="H42" s="14" t="n"/>
      <c r="I42" s="14" t="n"/>
      <c r="J42" s="14" t="n"/>
      <c r="K42" s="14" t="n"/>
      <c r="L42" s="14" t="n"/>
      <c r="M42" s="14" t="n"/>
    </row>
    <row r="43">
      <c r="A43" s="7" t="inlineStr">
        <is>
          <t>PD-22</t>
        </is>
      </c>
      <c r="B43" s="7" t="inlineStr">
        <is>
          <t>ORG</t>
        </is>
      </c>
      <c r="C43" s="7" t="inlineStr">
        <is>
          <t>Data Integrity</t>
        </is>
      </c>
      <c r="D43" s="7" t="inlineStr">
        <is>
          <t>End-to-end encryption and multi-layer security</t>
        </is>
      </c>
      <c r="E43" s="7" t="inlineStr">
        <is>
          <t>1. Verify E2E encryption for external communications.
2. Review multi-layer network security (defence-in-depth).
3. Confirm each layer independently managed.
4. Verify security devices current on firmware/signatures.</t>
        </is>
      </c>
      <c r="F43" s="7" t="inlineStr">
        <is>
          <t>Encryption architecture; Multi-layer security diagram; Security device inventory; Management and monitoring evidence</t>
        </is>
      </c>
      <c r="G43" s="7" t="inlineStr">
        <is>
          <t>Inspection</t>
        </is>
      </c>
      <c r="H43" s="7" t="inlineStr"/>
      <c r="I43" s="7" t="inlineStr"/>
      <c r="J43" s="7" t="inlineStr"/>
      <c r="K43" s="7" t="inlineStr"/>
      <c r="L43" s="7" t="inlineStr"/>
      <c r="M43" s="7" t="inlineStr"/>
    </row>
    <row r="44">
      <c r="A44" s="7" t="inlineStr">
        <is>
          <t>PD-23</t>
        </is>
      </c>
      <c r="B44" s="7" t="inlineStr">
        <is>
          <t>ORG</t>
        </is>
      </c>
      <c r="C44" s="7" t="inlineStr">
        <is>
          <t>Data Integrity</t>
        </is>
      </c>
      <c r="D44" s="7" t="inlineStr">
        <is>
          <t>Absence of single points of failure</t>
        </is>
      </c>
      <c r="E44" s="7" t="inlineStr">
        <is>
          <t>1. Review network architecture for SPOF.
2. Verify redundancy at each critical layer.
3. Confirm failover tested within 12 months.
4. Check SPOF analysis documented.</t>
        </is>
      </c>
      <c r="F44" s="7" t="inlineStr">
        <is>
          <t>Network architecture with redundancy; SPOF analysis; Failover test results; SPOF review history</t>
        </is>
      </c>
      <c r="G44" s="7" t="inlineStr">
        <is>
          <t>Inspection</t>
        </is>
      </c>
      <c r="H44" s="7" t="inlineStr"/>
      <c r="I44" s="7" t="inlineStr"/>
      <c r="J44" s="7" t="inlineStr"/>
      <c r="K44" s="7" t="inlineStr"/>
      <c r="L44" s="7" t="inlineStr"/>
      <c r="M44" s="7" t="inlineStr"/>
    </row>
    <row r="45">
      <c r="A45" s="7" t="inlineStr">
        <is>
          <t>PD-24</t>
        </is>
      </c>
      <c r="B45" s="7" t="inlineStr">
        <is>
          <t>ORG</t>
        </is>
      </c>
      <c r="C45" s="7" t="inlineStr">
        <is>
          <t>Data Integrity</t>
        </is>
      </c>
      <c r="D45" s="7" t="inlineStr">
        <is>
          <t>Security assessment and audit trails</t>
        </is>
      </c>
      <c r="E45" s="7" t="inlineStr">
        <is>
          <t>1. Obtain most recent pen test and network security assessment.
2. Verify testing by qualified party within 12 months.
3. Confirm vulnerabilities remediated or risk-accepted.
4. Verify audit trail capabilities.
5. Confirm logs tamper-protected and retained.</t>
        </is>
      </c>
      <c r="F45" s="7" t="inlineStr">
        <is>
          <t>Pen test report; Network security assessment; Audit trail config and sample logs; Log integrity controls</t>
        </is>
      </c>
      <c r="G45" s="7" t="inlineStr">
        <is>
          <t>Inspection</t>
        </is>
      </c>
      <c r="H45" s="7" t="inlineStr"/>
      <c r="I45" s="7" t="inlineStr"/>
      <c r="J45" s="7" t="inlineStr"/>
      <c r="K45" s="7" t="inlineStr"/>
      <c r="L45" s="7" t="inlineStr"/>
      <c r="M45" s="7" t="inlineStr"/>
    </row>
    <row r="46">
      <c r="A46" s="7" t="inlineStr">
        <is>
          <t>PD-25</t>
        </is>
      </c>
      <c r="B46" s="7" t="inlineStr">
        <is>
          <t>WORKLOAD</t>
        </is>
      </c>
      <c r="C46" s="7" t="inlineStr">
        <is>
          <t>Data Integrity</t>
        </is>
      </c>
      <c r="D46" s="7" t="inlineStr">
        <is>
          <t>Data confidentiality and risk-based auth</t>
        </is>
      </c>
      <c r="E46" s="7" t="inlineStr">
        <is>
          <t>1. Verify confidentiality controls (encryption, masking, access controls).
2. Confirm data classification applied.
3. Verify risk-based step-up authentication.
4. Check customers receive timely transaction notifications.</t>
        </is>
      </c>
      <c r="F46" s="7" t="inlineStr">
        <is>
          <t>Data classification scheme; Encryption and masking config; Risk-based auth rules; Customer notification samples</t>
        </is>
      </c>
      <c r="G46" s="7" t="inlineStr">
        <is>
          <t>Inspection</t>
        </is>
      </c>
      <c r="H46" s="7" t="inlineStr"/>
      <c r="I46" s="7" t="inlineStr"/>
      <c r="J46" s="7" t="inlineStr"/>
      <c r="K46" s="7" t="inlineStr"/>
      <c r="L46" s="7" t="inlineStr"/>
      <c r="M46" s="7" t="inlineStr"/>
    </row>
    <row r="47">
      <c r="A47" s="11" t="inlineStr">
        <is>
          <t>Item 2(e) — Mobile Device Risks</t>
        </is>
      </c>
      <c r="B47" s="12" t="n"/>
      <c r="C47" s="12" t="n"/>
      <c r="D47" s="12" t="n"/>
      <c r="E47" s="12" t="n"/>
      <c r="F47" s="12" t="n"/>
      <c r="G47" s="12" t="n"/>
      <c r="H47" s="12" t="n"/>
      <c r="I47" s="12" t="n"/>
      <c r="J47" s="12" t="n"/>
      <c r="K47" s="12" t="n"/>
      <c r="L47" s="12" t="n"/>
      <c r="M47" s="12" t="n"/>
    </row>
    <row r="48">
      <c r="A48" s="13" t="inlineStr">
        <is>
          <t>Mobile apps require additional protections due to the untrusted device environment. Expect jailbreak detection, secure storage, certificate pinning, fake app monitoring. Mobile-specific attacks bypass server-side controls.</t>
        </is>
      </c>
      <c r="B48" s="14" t="n"/>
      <c r="C48" s="14" t="n"/>
      <c r="D48" s="14" t="n"/>
      <c r="E48" s="14" t="n"/>
      <c r="F48" s="14" t="n"/>
      <c r="G48" s="14" t="n"/>
      <c r="H48" s="14" t="n"/>
      <c r="I48" s="14" t="n"/>
      <c r="J48" s="14" t="n"/>
      <c r="K48" s="14" t="n"/>
      <c r="L48" s="14" t="n"/>
      <c r="M48" s="14" t="n"/>
    </row>
    <row r="49">
      <c r="A49" s="7" t="inlineStr">
        <is>
          <t>PD-26</t>
        </is>
      </c>
      <c r="B49" s="7" t="inlineStr">
        <is>
          <t>WORKLOAD</t>
        </is>
      </c>
      <c r="C49" s="7" t="inlineStr">
        <is>
          <t>Mobile Device Security</t>
        </is>
      </c>
      <c r="D49" s="7" t="inlineStr">
        <is>
          <t>Mobile app security baseline</t>
        </is>
      </c>
      <c r="E49" s="7" t="inlineStr">
        <is>
          <t>1. Confirm minimum OS version enforced and jailbreak/root detection.
2. Review most recent mobile pen test.
3. Verify vulnerabilities remediated.
4. Confirm secure E2E communication (cert pinning, TLS 1.2+).</t>
        </is>
      </c>
      <c r="F49" s="7" t="inlineStr">
        <is>
          <t>OS version enforcement; Jailbreak/root detection; Mobile pen test report; Remediation evidence; Communication security config</t>
        </is>
      </c>
      <c r="G49" s="7" t="inlineStr">
        <is>
          <t>Inspection</t>
        </is>
      </c>
      <c r="H49" s="7" t="inlineStr"/>
      <c r="I49" s="7" t="inlineStr"/>
      <c r="J49" s="7" t="inlineStr"/>
      <c r="K49" s="7" t="inlineStr"/>
      <c r="L49" s="7" t="inlineStr"/>
      <c r="M49" s="7" t="inlineStr"/>
    </row>
    <row r="50">
      <c r="A50" s="7" t="inlineStr">
        <is>
          <t>PD-27</t>
        </is>
      </c>
      <c r="B50" s="7" t="inlineStr">
        <is>
          <t>WORKLOAD</t>
        </is>
      </c>
      <c r="C50" s="7" t="inlineStr">
        <is>
          <t>Mobile Device Security</t>
        </is>
      </c>
      <c r="D50" s="7" t="inlineStr">
        <is>
          <t>Mobile data protection</t>
        </is>
      </c>
      <c r="E50" s="7" t="inlineStr">
        <is>
          <t>1. Verify sensitive data not stored on device or only in secure enclaves.
2. Confirm cache/logs sanitised.
3. Verify clipboard access restricted.
4. Check remote wipe capability.</t>
        </is>
      </c>
      <c r="F50" s="7" t="inlineStr">
        <is>
          <t>Mobile app security architecture; Data storage review; Secure enclave usage; Remote wipe documentation</t>
        </is>
      </c>
      <c r="G50" s="7" t="inlineStr">
        <is>
          <t>Inspection</t>
        </is>
      </c>
      <c r="H50" s="7" t="inlineStr"/>
      <c r="I50" s="7" t="inlineStr"/>
      <c r="J50" s="7" t="inlineStr"/>
      <c r="K50" s="7" t="inlineStr"/>
      <c r="L50" s="7" t="inlineStr"/>
      <c r="M50" s="7" t="inlineStr"/>
    </row>
    <row r="51">
      <c r="A51" s="7" t="inlineStr">
        <is>
          <t>PD-28</t>
        </is>
      </c>
      <c r="B51" s="7" t="inlineStr">
        <is>
          <t>WORKLOAD</t>
        </is>
      </c>
      <c r="C51" s="7" t="inlineStr">
        <is>
          <t>Mobile Device Security</t>
        </is>
      </c>
      <c r="D51" s="7" t="inlineStr">
        <is>
          <t>Transaction notification and codes</t>
        </is>
      </c>
      <c r="E51" s="7" t="inlineStr">
        <is>
          <t>1. Verify transaction notifications (push, SMS, email).
2. Verify suspicious transaction alerts.
3. Confirm unique per-transaction codes (TAC, OTP).
4. Verify code expiry (2-5 min) and single-use.</t>
        </is>
      </c>
      <c r="F51" s="7" t="inlineStr">
        <is>
          <t>Transaction notification config; Suspicious alert rules; Code generation mechanism; Code expiry config</t>
        </is>
      </c>
      <c r="G51" s="7" t="inlineStr">
        <is>
          <t>Inspection</t>
        </is>
      </c>
      <c r="H51" s="7" t="inlineStr"/>
      <c r="I51" s="7" t="inlineStr"/>
      <c r="J51" s="7" t="inlineStr"/>
      <c r="K51" s="7" t="inlineStr"/>
      <c r="L51" s="7" t="inlineStr"/>
      <c r="M51" s="7" t="inlineStr"/>
    </row>
    <row r="52">
      <c r="A52" s="7" t="inlineStr">
        <is>
          <t>PD-29</t>
        </is>
      </c>
      <c r="B52" s="7" t="inlineStr">
        <is>
          <t>WORKLOAD</t>
        </is>
      </c>
      <c r="C52" s="7" t="inlineStr">
        <is>
          <t>Mobile Device Security</t>
        </is>
      </c>
      <c r="D52" s="7" t="inlineStr">
        <is>
          <t>App distribution and fake app monitoring</t>
        </is>
      </c>
      <c r="E52" s="7" t="inlineStr">
        <is>
          <t>1. Verify publishing access controls.
2. Confirm monitoring for fake/fraudulent apps.
3. Verify takedown process exists and exercised.
4. Review fake app incident history.</t>
        </is>
      </c>
      <c r="F52" s="7" t="inlineStr">
        <is>
          <t>Publishing access controls; Fake app monitoring service; Takedown process docs; Fake app incident log</t>
        </is>
      </c>
      <c r="G52" s="7" t="inlineStr">
        <is>
          <t>Inspection</t>
        </is>
      </c>
      <c r="H52" s="7" t="inlineStr"/>
      <c r="I52" s="7" t="inlineStr"/>
      <c r="J52" s="7" t="inlineStr"/>
      <c r="K52" s="7" t="inlineStr"/>
      <c r="L52" s="7" t="inlineStr"/>
      <c r="M52" s="7" t="inlineStr"/>
    </row>
  </sheetData>
  <mergeCells count="22">
    <mergeCell ref="A14:M14"/>
    <mergeCell ref="A22:M22"/>
    <mergeCell ref="A17:M17"/>
    <mergeCell ref="A38:M38"/>
    <mergeCell ref="A10:M10"/>
    <mergeCell ref="A34:M34"/>
    <mergeCell ref="A48:M48"/>
    <mergeCell ref="A15:M15"/>
    <mergeCell ref="A11:M11"/>
    <mergeCell ref="A6:M6"/>
    <mergeCell ref="A7:M7"/>
    <mergeCell ref="A41:M41"/>
    <mergeCell ref="A2:M2"/>
    <mergeCell ref="A37:M37"/>
    <mergeCell ref="A27:M27"/>
    <mergeCell ref="A18:M18"/>
    <mergeCell ref="A3:M3"/>
    <mergeCell ref="A21:M21"/>
    <mergeCell ref="A26:M26"/>
    <mergeCell ref="A33:M33"/>
    <mergeCell ref="A47:M47"/>
    <mergeCell ref="A42:M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8" customWidth="1" min="1" max="1"/>
    <col width="50" customWidth="1" min="2" max="2"/>
    <col width="20" customWidth="1" min="3" max="3"/>
    <col width="15" customWidth="1" min="4" max="4"/>
    <col width="30" customWidth="1" min="5" max="5"/>
  </cols>
  <sheetData>
    <row r="1">
      <c r="A1" s="1" t="inlineStr">
        <is>
          <t>REPORTING AND ATTESTATION CHECKLIST</t>
        </is>
      </c>
    </row>
    <row r="3">
      <c r="A3" s="8" t="inlineStr">
        <is>
          <t>Step</t>
        </is>
      </c>
      <c r="B3" s="8" t="inlineStr">
        <is>
          <t>Activity</t>
        </is>
      </c>
      <c r="C3" s="8" t="inlineStr">
        <is>
          <t>Responsible</t>
        </is>
      </c>
      <c r="D3" s="8" t="inlineStr">
        <is>
          <t>Status</t>
        </is>
      </c>
      <c r="E3" s="8" t="inlineStr">
        <is>
          <t>Notes</t>
        </is>
      </c>
    </row>
    <row r="4">
      <c r="A4" s="7" t="inlineStr">
        <is>
          <t>R-01</t>
        </is>
      </c>
      <c r="B4" s="7" t="inlineStr">
        <is>
          <t>Consolidate all test results — compile conclusions from all assessment sheets</t>
        </is>
      </c>
      <c r="C4" s="7" t="inlineStr"/>
      <c r="D4" s="7" t="inlineStr"/>
      <c r="E4" s="7" t="inlineStr"/>
    </row>
    <row r="5">
      <c r="A5" s="7" t="inlineStr">
        <is>
          <t>R-02</t>
        </is>
      </c>
      <c r="B5" s="7" t="inlineStr">
        <is>
          <t>Assign risk ratings (High/Medium/Low) to each finding based on likelihood and impact</t>
        </is>
      </c>
      <c r="C5" s="7" t="inlineStr"/>
      <c r="D5" s="7" t="inlineStr"/>
      <c r="E5" s="7" t="inlineStr"/>
    </row>
    <row r="6">
      <c r="A6" s="7" t="inlineStr">
        <is>
          <t>R-03</t>
        </is>
      </c>
      <c r="B6" s="7" t="inlineStr">
        <is>
          <t>Map findings to specific regulatory references (Appendix clauses, Part D items)</t>
        </is>
      </c>
      <c r="C6" s="7" t="inlineStr"/>
      <c r="D6" s="7" t="inlineStr"/>
      <c r="E6" s="7" t="inlineStr"/>
    </row>
    <row r="7">
      <c r="A7" s="7" t="inlineStr">
        <is>
          <t>R-04</t>
        </is>
      </c>
      <c r="B7" s="7" t="inlineStr">
        <is>
          <t>Draft recommendations with specific remediation steps, responsible parties, and timelines</t>
        </is>
      </c>
      <c r="C7" s="7" t="inlineStr"/>
      <c r="D7" s="7" t="inlineStr"/>
      <c r="E7" s="7" t="inlineStr"/>
    </row>
    <row r="8">
      <c r="A8" s="7" t="inlineStr">
        <is>
          <t>R-05</t>
        </is>
      </c>
      <c r="B8" s="7" t="inlineStr">
        <is>
          <t>Distinguish must-fix-before-go-live findings from post-launch improvements (for pre-impl)</t>
        </is>
      </c>
      <c r="C8" s="7" t="inlineStr"/>
      <c r="D8" s="7" t="inlineStr"/>
      <c r="E8" s="7" t="inlineStr"/>
    </row>
    <row r="9">
      <c r="A9" s="7" t="inlineStr">
        <is>
          <t>R-06</t>
        </is>
      </c>
      <c r="B9" s="7" t="inlineStr">
        <is>
          <t>Conduct quality assurance / peer review of working papers and findings</t>
        </is>
      </c>
      <c r="C9" s="7" t="inlineStr"/>
      <c r="D9" s="7" t="inlineStr"/>
      <c r="E9" s="7" t="inlineStr"/>
    </row>
    <row r="10">
      <c r="A10" s="7" t="inlineStr">
        <is>
          <t>R-07</t>
        </is>
      </c>
      <c r="B10" s="7" t="inlineStr">
        <is>
          <t>Conduct findings walkthrough with FI management</t>
        </is>
      </c>
      <c r="C10" s="7" t="inlineStr"/>
      <c r="D10" s="7" t="inlineStr"/>
      <c r="E10" s="7" t="inlineStr"/>
    </row>
    <row r="11">
      <c r="A11" s="7" t="inlineStr">
        <is>
          <t>R-08</t>
        </is>
      </c>
      <c r="B11" s="7" t="inlineStr">
        <is>
          <t>Incorporate management responses and agreed action plans</t>
        </is>
      </c>
      <c r="C11" s="7" t="inlineStr"/>
      <c r="D11" s="7" t="inlineStr"/>
      <c r="E11" s="7" t="inlineStr"/>
    </row>
    <row r="12">
      <c r="A12" s="7" t="inlineStr">
        <is>
          <t>R-09</t>
        </is>
      </c>
      <c r="B12" s="7" t="inlineStr">
        <is>
          <t>Form Part C attestation opinion: Type A (Clean), Type B (With Exceptions), or Type C (Adverse)</t>
        </is>
      </c>
      <c r="C12" s="7" t="inlineStr"/>
      <c r="D12" s="7" t="inlineStr"/>
      <c r="E12" s="7" t="inlineStr"/>
    </row>
    <row r="13">
      <c r="A13" s="7" t="inlineStr">
        <is>
          <t>R-10</t>
        </is>
      </c>
      <c r="B13" s="7" t="inlineStr">
        <is>
          <t>Prepare the formal report in Appendix 7 Part A format</t>
        </is>
      </c>
      <c r="C13" s="7" t="inlineStr"/>
      <c r="D13" s="7" t="inlineStr"/>
      <c r="E13" s="7" t="inlineStr"/>
    </row>
    <row r="14">
      <c r="A14" s="7" t="inlineStr">
        <is>
          <t>R-11</t>
        </is>
      </c>
      <c r="B14" s="7" t="inlineStr">
        <is>
          <t>Confirm independence declaration and Part C compliance statement</t>
        </is>
      </c>
      <c r="C14" s="7" t="inlineStr"/>
      <c r="D14" s="7" t="inlineStr"/>
      <c r="E14" s="7" t="inlineStr"/>
    </row>
    <row r="15">
      <c r="A15" s="7" t="inlineStr">
        <is>
          <t>R-12</t>
        </is>
      </c>
      <c r="B15" s="7" t="inlineStr">
        <is>
          <t>Obtain FI management sign-off on report and management action plans</t>
        </is>
      </c>
      <c r="C15" s="7" t="inlineStr"/>
      <c r="D15" s="7" t="inlineStr"/>
      <c r="E15" s="7" t="inlineStr"/>
    </row>
    <row r="16">
      <c r="A16" s="7" t="inlineStr">
        <is>
          <t>R-13</t>
        </is>
      </c>
      <c r="B16" s="7" t="inlineStr">
        <is>
          <t>Prepare executive summary for designated board committee (per 8.3)</t>
        </is>
      </c>
      <c r="C16" s="7" t="inlineStr"/>
      <c r="D16" s="7" t="inlineStr"/>
      <c r="E16" s="7" t="inlineStr"/>
    </row>
    <row r="17">
      <c r="A17" s="7" t="inlineStr">
        <is>
          <t>R-14</t>
        </is>
      </c>
      <c r="B17" s="7" t="inlineStr">
        <is>
          <t>Attend board committee meeting to present findings (if required)</t>
        </is>
      </c>
      <c r="C17" s="7" t="inlineStr"/>
      <c r="D17" s="7" t="inlineStr"/>
      <c r="E17" s="7" t="inlineStr"/>
    </row>
    <row r="18">
      <c r="A18" s="7" t="inlineStr">
        <is>
          <t>R-15</t>
        </is>
      </c>
      <c r="B18" s="7" t="inlineStr">
        <is>
          <t>Document board committee directives and incorporate into final report</t>
        </is>
      </c>
      <c r="C18" s="7" t="inlineStr"/>
      <c r="D18" s="7" t="inlineStr"/>
      <c r="E18" s="7" t="inlineStr"/>
    </row>
    <row r="19">
      <c r="A19" s="7" t="inlineStr">
        <is>
          <t>R-16</t>
        </is>
      </c>
      <c r="B19" s="7" t="inlineStr">
        <is>
          <t>Issue final signed report</t>
        </is>
      </c>
      <c r="C19" s="7" t="inlineStr"/>
      <c r="D19" s="7" t="inlineStr"/>
      <c r="E19" s="7" t="inlineStr"/>
    </row>
  </sheetData>
  <mergeCells count="1">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20" customWidth="1" min="2" max="2"/>
    <col width="45" customWidth="1" min="3" max="3"/>
    <col width="40" customWidth="1" min="4" max="4"/>
    <col width="15" customWidth="1" min="5" max="5"/>
    <col width="30" customWidth="1" min="6" max="6"/>
  </cols>
  <sheetData>
    <row r="1">
      <c r="A1" s="1" t="inlineStr">
        <is>
          <t>APPENDIX 7 PART C — IESP SELF-ASSESSMENT</t>
        </is>
      </c>
    </row>
    <row r="2">
      <c r="A2" s="5" t="inlineStr">
        <is>
          <t>The IESP must comply with these 6 requirements. Complete this self-assessment before issuing the report.</t>
        </is>
      </c>
    </row>
    <row r="4">
      <c r="A4" s="8" t="inlineStr">
        <is>
          <t>#</t>
        </is>
      </c>
      <c r="B4" s="8" t="inlineStr">
        <is>
          <t>Requirement</t>
        </is>
      </c>
      <c r="C4" s="8" t="inlineStr">
        <is>
          <t>Assessment Criteria</t>
        </is>
      </c>
      <c r="D4" s="8" t="inlineStr">
        <is>
          <t>Evidence / Justification</t>
        </is>
      </c>
      <c r="E4" s="8" t="inlineStr">
        <is>
          <t>Compliant?</t>
        </is>
      </c>
      <c r="F4" s="8" t="inlineStr">
        <is>
          <t>Notes</t>
        </is>
      </c>
    </row>
    <row r="5">
      <c r="A5" s="7" t="inlineStr">
        <is>
          <t>1</t>
        </is>
      </c>
      <c r="B5" s="7" t="inlineStr">
        <is>
          <t>Independence</t>
        </is>
      </c>
      <c r="C5" s="7" t="inlineStr">
        <is>
          <t>The IESP is independent of the FI's technology operations and the systems/services being assessed. No conflicts of interest exist between the IESP and the FI.</t>
        </is>
      </c>
      <c r="D5" s="7" t="inlineStr"/>
      <c r="E5" s="7" t="inlineStr"/>
      <c r="F5" s="7" t="inlineStr"/>
    </row>
    <row r="6">
      <c r="A6" s="7" t="inlineStr">
        <is>
          <t>2</t>
        </is>
      </c>
      <c r="B6" s="7" t="inlineStr">
        <is>
          <t>Competence</t>
        </is>
      </c>
      <c r="C6" s="7" t="inlineStr">
        <is>
          <t>The IESP team has relevant professional qualifications (CISA, CISSP, CCSP, CSP-specific certs), certifications, and experience in the subject matter being assessed.</t>
        </is>
      </c>
      <c r="D6" s="7" t="inlineStr"/>
      <c r="E6" s="7" t="inlineStr"/>
      <c r="F6" s="7" t="inlineStr"/>
    </row>
    <row r="7">
      <c r="A7" s="7" t="inlineStr">
        <is>
          <t>3</t>
        </is>
      </c>
      <c r="B7" s="7" t="inlineStr">
        <is>
          <t>Scope</t>
        </is>
      </c>
      <c r="C7" s="7" t="inlineStr">
        <is>
          <t>The assessment covers ALL areas specified in the relevant appendix (Appendix 10, Appendix 9, or Part D as applicable). No required areas were excluded without documented justification.</t>
        </is>
      </c>
      <c r="D7" s="7" t="inlineStr"/>
      <c r="E7" s="7" t="inlineStr"/>
      <c r="F7" s="7" t="inlineStr"/>
    </row>
    <row r="8">
      <c r="A8" s="7" t="inlineStr">
        <is>
          <t>4</t>
        </is>
      </c>
      <c r="B8" s="7" t="inlineStr">
        <is>
          <t>Methodology</t>
        </is>
      </c>
      <c r="C8" s="7" t="inlineStr">
        <is>
          <t>The IESP uses a systematic, risk-based assessment methodology with clear criteria for evaluating controls. The methodology is documented and consistently applied.</t>
        </is>
      </c>
      <c r="D8" s="7" t="inlineStr"/>
      <c r="E8" s="7" t="inlineStr"/>
      <c r="F8" s="7" t="inlineStr"/>
    </row>
    <row r="9">
      <c r="A9" s="7" t="inlineStr">
        <is>
          <t>5</t>
        </is>
      </c>
      <c r="B9" s="7" t="inlineStr">
        <is>
          <t>Reporting</t>
        </is>
      </c>
      <c r="C9" s="7" t="inlineStr">
        <is>
          <t>Findings are reported in the Appendix 7 Part A format with clear risk ratings and actionable recommendations. The report is complete, accurate, and traceable to evidence.</t>
        </is>
      </c>
      <c r="D9" s="7" t="inlineStr"/>
      <c r="E9" s="7" t="inlineStr"/>
      <c r="F9" s="7" t="inlineStr"/>
    </row>
    <row r="10">
      <c r="A10" s="7" t="inlineStr">
        <is>
          <t>6</t>
        </is>
      </c>
      <c r="B10" s="7" t="inlineStr">
        <is>
          <t>Quality Assurance</t>
        </is>
      </c>
      <c r="C10" s="7" t="inlineStr">
        <is>
          <t>Internal QA processes were followed, including peer review of assessment work by a qualified reviewer who did not perform the assessment.</t>
        </is>
      </c>
      <c r="D10" s="7" t="inlineStr"/>
      <c r="E10" s="7" t="inlineStr"/>
      <c r="F10" s="7" t="inlineStr"/>
    </row>
    <row r="12">
      <c r="A12" s="2" t="inlineStr">
        <is>
          <t>SIGN-OFF</t>
        </is>
      </c>
    </row>
    <row r="13">
      <c r="A13" s="3" t="inlineStr">
        <is>
          <t>Lead Assessor:</t>
        </is>
      </c>
      <c r="B13" s="4" t="inlineStr">
        <is>
          <t>________________________</t>
        </is>
      </c>
      <c r="D13" s="3" t="inlineStr">
        <is>
          <t>Date:</t>
        </is>
      </c>
      <c r="E13" s="4" t="inlineStr">
        <is>
          <t>______________</t>
        </is>
      </c>
    </row>
    <row r="14">
      <c r="A14" s="3" t="inlineStr">
        <is>
          <t>Quality Reviewer:</t>
        </is>
      </c>
      <c r="B14" s="4" t="inlineStr">
        <is>
          <t>________________________</t>
        </is>
      </c>
      <c r="D14" s="3" t="inlineStr">
        <is>
          <t>Date:</t>
        </is>
      </c>
      <c r="E14" s="4" t="inlineStr">
        <is>
          <t>______________</t>
        </is>
      </c>
    </row>
  </sheetData>
  <mergeCells count="3">
    <mergeCell ref="A2:F2"/>
    <mergeCell ref="A1:F1"/>
    <mergeCell ref="A12:F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35" customWidth="1" min="1" max="1"/>
    <col width="16" customWidth="1" min="2" max="2"/>
    <col width="20" customWidth="1" min="3" max="3"/>
    <col width="18" customWidth="1" min="4" max="4"/>
    <col width="14" customWidth="1" min="5" max="5"/>
    <col width="16" customWidth="1" min="6" max="6"/>
    <col width="16" customWidth="1" min="7" max="7"/>
    <col width="18" customWidth="1" min="8" max="8"/>
  </cols>
  <sheetData>
    <row r="1">
      <c r="A1" s="1" t="inlineStr">
        <is>
          <t>SCORING DASHBOARD</t>
        </is>
      </c>
    </row>
    <row r="3">
      <c r="A3" s="2" t="inlineStr">
        <is>
          <t>OVERALL SUMMARY</t>
        </is>
      </c>
    </row>
    <row r="4">
      <c r="A4" s="8" t="inlineStr">
        <is>
          <t>Metric</t>
        </is>
      </c>
      <c r="B4" s="8" t="inlineStr">
        <is>
          <t>Value</t>
        </is>
      </c>
    </row>
    <row r="5">
      <c r="A5" s="6" t="inlineStr">
        <is>
          <t>Total Compliant</t>
        </is>
      </c>
      <c r="B5" s="15">
        <f>SUM(B19:B20)</f>
        <v/>
      </c>
    </row>
    <row r="6">
      <c r="A6" s="6" t="inlineStr">
        <is>
          <t>Total Partially Compliant</t>
        </is>
      </c>
      <c r="B6" s="16">
        <f>SUM(C19:C20)</f>
        <v/>
      </c>
    </row>
    <row r="7">
      <c r="A7" s="6" t="inlineStr">
        <is>
          <t>Total Non-Compliant</t>
        </is>
      </c>
      <c r="B7" s="17">
        <f>SUM(D19:D20)</f>
        <v/>
      </c>
    </row>
    <row r="8">
      <c r="A8" s="6" t="inlineStr">
        <is>
          <t>Total N/A</t>
        </is>
      </c>
      <c r="B8" s="18">
        <f>SUM(E19:E20)</f>
        <v/>
      </c>
    </row>
    <row r="9">
      <c r="A9" s="6" t="inlineStr">
        <is>
          <t>Total Not Assessed</t>
        </is>
      </c>
      <c r="B9" s="9">
        <f>SUM(F19:F20)</f>
        <v/>
      </c>
    </row>
    <row r="10">
      <c r="A10" s="6" t="inlineStr">
        <is>
          <t>Total Test Steps</t>
        </is>
      </c>
      <c r="B10" s="9">
        <f>SUM(G19:G20)</f>
        <v/>
      </c>
    </row>
    <row r="11">
      <c r="A11" s="6" t="inlineStr">
        <is>
          <t>Overall Compliance %</t>
        </is>
      </c>
      <c r="B11" s="19">
        <f>IF((B10-B8-B9)=0,"—",B5/(B10-B8-B9))</f>
        <v/>
      </c>
    </row>
    <row r="13">
      <c r="A13" s="2" t="inlineStr">
        <is>
          <t>PART C OPINION INDICATOR</t>
        </is>
      </c>
    </row>
    <row r="14">
      <c r="A14" s="6" t="inlineStr">
        <is>
          <t>Opinion Type</t>
        </is>
      </c>
      <c r="B14" s="14">
        <f>IF(B7&gt;5,"Type C (Adverse)",IF(B7&gt;0,"Type B (With Exceptions)",IF(B6&lt;=3,"Type A (Clean)","Type B (With Exceptions)")))</f>
        <v/>
      </c>
    </row>
    <row r="15">
      <c r="A15" s="20" t="inlineStr">
        <is>
          <t>Criteria:</t>
        </is>
      </c>
      <c r="B15" s="13" t="inlineStr">
        <is>
          <t>Type A (Clean): NC=0 and PC&lt;=3  |  Type B (With Exceptions): NC&gt;0 and NC&lt;=5  |  Type C (Adverse): NC&gt;5</t>
        </is>
      </c>
    </row>
    <row r="17">
      <c r="A17" s="2" t="inlineStr">
        <is>
          <t>PER-SHEET BREAKDOWN</t>
        </is>
      </c>
    </row>
    <row r="18">
      <c r="A18" s="10" t="inlineStr">
        <is>
          <t>Sheet</t>
        </is>
      </c>
      <c r="B18" s="10" t="inlineStr">
        <is>
          <t>Compliant</t>
        </is>
      </c>
      <c r="C18" s="10" t="inlineStr">
        <is>
          <t>Partially Compliant</t>
        </is>
      </c>
      <c r="D18" s="10" t="inlineStr">
        <is>
          <t>Non-Compliant</t>
        </is>
      </c>
      <c r="E18" s="10" t="inlineStr">
        <is>
          <t>N/A</t>
        </is>
      </c>
      <c r="F18" s="10" t="inlineStr">
        <is>
          <t>Not Assessed</t>
        </is>
      </c>
      <c r="G18" s="10" t="inlineStr">
        <is>
          <t>Total Steps</t>
        </is>
      </c>
      <c r="H18" s="10" t="inlineStr">
        <is>
          <t>Compliance %</t>
        </is>
      </c>
    </row>
    <row r="19">
      <c r="A19" s="6" t="inlineStr">
        <is>
          <t>NRA Assessment</t>
        </is>
      </c>
      <c r="B19" s="15">
        <f>COUNTIF('NRA Assessment'!L:L,"Compliant")</f>
        <v/>
      </c>
      <c r="C19" s="16">
        <f>COUNTIF('NRA Assessment'!L:L,"Partially Compliant")</f>
        <v/>
      </c>
      <c r="D19" s="17">
        <f>COUNTIF('NRA Assessment'!L:L,"Non-Compliant")</f>
        <v/>
      </c>
      <c r="E19" s="18">
        <f>COUNTIF('NRA Assessment'!L:L,"N/A")</f>
        <v/>
      </c>
      <c r="F19" s="9">
        <f>COUNTIFS('NRA Assessment'!A:A,"&lt;&gt;",'NRA Assessment'!L:L,"=")-COUNTIF('NRA Assessment'!A:A,"Ref")</f>
        <v/>
      </c>
      <c r="G19" s="9">
        <f>COUNTA('NRA Assessment'!A:A)-COUNTIF('NRA Assessment'!A:A,"Ref")-COUNTBLANK('NRA Assessment'!A1)</f>
        <v/>
      </c>
      <c r="H19" s="19">
        <f>IF((G19-E19-F19)=0,"—",B19/(G19-E19-F19))</f>
        <v/>
      </c>
    </row>
    <row r="20">
      <c r="A20" s="6" t="inlineStr">
        <is>
          <t>Appendix 7 Part D</t>
        </is>
      </c>
      <c r="B20" s="15">
        <f>COUNTIF('Appendix 7 Part D'!L:L,"Compliant")</f>
        <v/>
      </c>
      <c r="C20" s="16">
        <f>COUNTIF('Appendix 7 Part D'!L:L,"Partially Compliant")</f>
        <v/>
      </c>
      <c r="D20" s="17">
        <f>COUNTIF('Appendix 7 Part D'!L:L,"Non-Compliant")</f>
        <v/>
      </c>
      <c r="E20" s="18">
        <f>COUNTIF('Appendix 7 Part D'!L:L,"N/A")</f>
        <v/>
      </c>
      <c r="F20" s="9">
        <f>COUNTIFS('Appendix 7 Part D'!A:A,"&lt;&gt;",'Appendix 7 Part D'!L:L,"=")-COUNTIF('Appendix 7 Part D'!A:A,"Ref")</f>
        <v/>
      </c>
      <c r="G20" s="9">
        <f>COUNTA('Appendix 7 Part D'!A:A)-COUNTIF('Appendix 7 Part D'!A:A,"Ref")-COUNTBLANK('Appendix 7 Part D'!A1)</f>
        <v/>
      </c>
      <c r="H20" s="19">
        <f>IF((G20-E20-F20)=0,"—",B20/(G20-E20-F20))</f>
        <v/>
      </c>
    </row>
    <row r="23">
      <c r="A23" s="2" t="inlineStr">
        <is>
          <t>LEVEL BREAKDOWN</t>
        </is>
      </c>
    </row>
    <row r="24">
      <c r="A24" s="10" t="inlineStr">
        <is>
          <t>Level</t>
        </is>
      </c>
      <c r="B24" s="10" t="inlineStr">
        <is>
          <t>Compliant</t>
        </is>
      </c>
      <c r="C24" s="10" t="inlineStr">
        <is>
          <t>Partially Compliant</t>
        </is>
      </c>
      <c r="D24" s="10" t="inlineStr">
        <is>
          <t>Non-Compliant</t>
        </is>
      </c>
      <c r="E24" s="10" t="inlineStr">
        <is>
          <t>N/A</t>
        </is>
      </c>
      <c r="F24" s="10" t="inlineStr">
        <is>
          <t>Not Assessed</t>
        </is>
      </c>
      <c r="G24" s="10" t="inlineStr">
        <is>
          <t>Total</t>
        </is>
      </c>
      <c r="H24" s="10" t="inlineStr"/>
    </row>
    <row r="25">
      <c r="A25" s="6" t="inlineStr">
        <is>
          <t>ORG</t>
        </is>
      </c>
      <c r="B25" s="15">
        <f>COUNTIFS('NRA Assessment'!B:B,"ORG",'NRA Assessment'!L:L,"Compliant")+COUNTIFS('Appendix 7 Part D'!B:B,"ORG",'Appendix 7 Part D'!L:L,"Compliant")</f>
        <v/>
      </c>
      <c r="C25" s="16">
        <f>COUNTIFS('NRA Assessment'!B:B,"ORG",'NRA Assessment'!L:L,"Partially Compliant")+COUNTIFS('Appendix 7 Part D'!B:B,"ORG",'Appendix 7 Part D'!L:L,"Partially Compliant")</f>
        <v/>
      </c>
      <c r="D25" s="17">
        <f>COUNTIFS('NRA Assessment'!B:B,"ORG",'NRA Assessment'!L:L,"Non-Compliant")+COUNTIFS('Appendix 7 Part D'!B:B,"ORG",'Appendix 7 Part D'!L:L,"Non-Compliant")</f>
        <v/>
      </c>
      <c r="E25" s="18">
        <f>COUNTIFS('NRA Assessment'!B:B,"ORG",'NRA Assessment'!L:L,"N/A")+COUNTIFS('Appendix 7 Part D'!B:B,"ORG",'Appendix 7 Part D'!L:L,"N/A")</f>
        <v/>
      </c>
      <c r="F25" s="9">
        <f>COUNTIFS('NRA Assessment'!B:B,"ORG",'NRA Assessment'!L:L,"=")+COUNTIFS('Appendix 7 Part D'!B:B,"ORG",'Appendix 7 Part D'!L:L,"=")</f>
        <v/>
      </c>
      <c r="G25" s="9">
        <f>SUM(B25:F25)</f>
        <v/>
      </c>
    </row>
    <row r="26">
      <c r="A26" s="6" t="inlineStr">
        <is>
          <t>PLATFORM</t>
        </is>
      </c>
      <c r="B26" s="15">
        <f>COUNTIFS('NRA Assessment'!B:B,"PLATFORM",'NRA Assessment'!L:L,"Compliant")+COUNTIFS('Appendix 7 Part D'!B:B,"PLATFORM",'Appendix 7 Part D'!L:L,"Compliant")</f>
        <v/>
      </c>
      <c r="C26" s="16">
        <f>COUNTIFS('NRA Assessment'!B:B,"PLATFORM",'NRA Assessment'!L:L,"Partially Compliant")+COUNTIFS('Appendix 7 Part D'!B:B,"PLATFORM",'Appendix 7 Part D'!L:L,"Partially Compliant")</f>
        <v/>
      </c>
      <c r="D26" s="17">
        <f>COUNTIFS('NRA Assessment'!B:B,"PLATFORM",'NRA Assessment'!L:L,"Non-Compliant")+COUNTIFS('Appendix 7 Part D'!B:B,"PLATFORM",'Appendix 7 Part D'!L:L,"Non-Compliant")</f>
        <v/>
      </c>
      <c r="E26" s="18">
        <f>COUNTIFS('NRA Assessment'!B:B,"PLATFORM",'NRA Assessment'!L:L,"N/A")+COUNTIFS('Appendix 7 Part D'!B:B,"PLATFORM",'Appendix 7 Part D'!L:L,"N/A")</f>
        <v/>
      </c>
      <c r="F26" s="9">
        <f>COUNTIFS('NRA Assessment'!B:B,"PLATFORM",'NRA Assessment'!L:L,"=")+COUNTIFS('Appendix 7 Part D'!B:B,"PLATFORM",'Appendix 7 Part D'!L:L,"=")</f>
        <v/>
      </c>
      <c r="G26" s="9">
        <f>SUM(B26:F26)</f>
        <v/>
      </c>
    </row>
    <row r="27">
      <c r="A27" s="6" t="inlineStr">
        <is>
          <t>WORKLOAD</t>
        </is>
      </c>
      <c r="B27" s="15">
        <f>COUNTIFS('NRA Assessment'!B:B,"WORKLOAD",'NRA Assessment'!L:L,"Compliant")+COUNTIFS('Appendix 7 Part D'!B:B,"WORKLOAD",'Appendix 7 Part D'!L:L,"Compliant")</f>
        <v/>
      </c>
      <c r="C27" s="16">
        <f>COUNTIFS('NRA Assessment'!B:B,"WORKLOAD",'NRA Assessment'!L:L,"Partially Compliant")+COUNTIFS('Appendix 7 Part D'!B:B,"WORKLOAD",'Appendix 7 Part D'!L:L,"Partially Compliant")</f>
        <v/>
      </c>
      <c r="D27" s="17">
        <f>COUNTIFS('NRA Assessment'!B:B,"WORKLOAD",'NRA Assessment'!L:L,"Non-Compliant")+COUNTIFS('Appendix 7 Part D'!B:B,"WORKLOAD",'Appendix 7 Part D'!L:L,"Non-Compliant")</f>
        <v/>
      </c>
      <c r="E27" s="18">
        <f>COUNTIFS('NRA Assessment'!B:B,"WORKLOAD",'NRA Assessment'!L:L,"N/A")+COUNTIFS('Appendix 7 Part D'!B:B,"WORKLOAD",'Appendix 7 Part D'!L:L,"N/A")</f>
        <v/>
      </c>
      <c r="F27" s="9">
        <f>COUNTIFS('NRA Assessment'!B:B,"WORKLOAD",'NRA Assessment'!L:L,"=")+COUNTIFS('Appendix 7 Part D'!B:B,"WORKLOAD",'Appendix 7 Part D'!L:L,"=")</f>
        <v/>
      </c>
      <c r="G27" s="9">
        <f>SUM(B27:F27)</f>
        <v/>
      </c>
    </row>
  </sheetData>
  <mergeCells count="6">
    <mergeCell ref="A3:H3"/>
    <mergeCell ref="A13:B13"/>
    <mergeCell ref="B15:H15"/>
    <mergeCell ref="A1:H1"/>
    <mergeCell ref="A23:H23"/>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2026-03-31T05:01:48Z</dcterms:created>
  <dcterms:modified xmlns:dcterms="http://purl.org/dc/terms/" xmlns:xsi="http://www.w3.org/2001/XMLSchema-instance" xsi:type="dcterms:W3CDTF">2026-03-31T05:01:48Z</dcterms:modified>
</cp:coreProperties>
</file>