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hodology &amp; Approach" sheetId="1" state="visible" r:id="rId1"/>
    <sheet xmlns:r="http://schemas.openxmlformats.org/officeDocument/2006/relationships" name="Scoping" sheetId="2" state="visible" r:id="rId2"/>
    <sheet xmlns:r="http://schemas.openxmlformats.org/officeDocument/2006/relationships" name="Planning" sheetId="3" state="visible" r:id="rId3"/>
    <sheet xmlns:r="http://schemas.openxmlformats.org/officeDocument/2006/relationships" name="Appendix 9 - Assessment" sheetId="4" state="visible" r:id="rId4"/>
    <sheet xmlns:r="http://schemas.openxmlformats.org/officeDocument/2006/relationships" name="Appendix 7 Part D" sheetId="5" state="visible" r:id="rId5"/>
    <sheet xmlns:r="http://schemas.openxmlformats.org/officeDocument/2006/relationships" name="Reporting &amp; Attestation" sheetId="6" state="visible" r:id="rId6"/>
    <sheet xmlns:r="http://schemas.openxmlformats.org/officeDocument/2006/relationships" name="Part C Self-Assessment" sheetId="7" state="visible" r:id="rId7"/>
    <sheet xmlns:r="http://schemas.openxmlformats.org/officeDocument/2006/relationships" name="Scoring Dashboard"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Calibri"/>
      <b val="1"/>
      <color rgb="002F5496"/>
      <sz val="14"/>
    </font>
    <font>
      <name val="Calibri"/>
      <b val="1"/>
      <color rgb="002F5496"/>
      <sz val="12"/>
    </font>
    <font>
      <name val="Calibri"/>
      <b val="1"/>
      <sz val="10"/>
    </font>
    <font>
      <name val="Calibri"/>
      <sz val="10"/>
    </font>
    <font>
      <name val="Calibri"/>
      <i val="1"/>
      <sz val="10"/>
    </font>
    <font>
      <name val="Calibri"/>
      <b val="1"/>
      <color rgb="00FFFFFF"/>
      <sz val="11"/>
    </font>
    <font>
      <name val="Calibri"/>
      <b val="1"/>
      <color rgb="002F5496"/>
      <sz val="11"/>
    </font>
  </fonts>
  <fills count="10">
    <fill>
      <patternFill/>
    </fill>
    <fill>
      <patternFill patternType="gray125"/>
    </fill>
    <fill>
      <patternFill patternType="solid">
        <fgColor rgb="002F5496"/>
        <bgColor rgb="002F5496"/>
      </patternFill>
    </fill>
    <fill>
      <patternFill patternType="solid">
        <fgColor rgb="00D6E4F0"/>
        <bgColor rgb="00D6E4F0"/>
      </patternFill>
    </fill>
    <fill>
      <patternFill patternType="solid">
        <fgColor rgb="00E2EFDA"/>
        <bgColor rgb="00E2EFDA"/>
      </patternFill>
    </fill>
    <fill>
      <patternFill patternType="solid">
        <fgColor rgb="00FFF2CC"/>
        <bgColor rgb="00FFF2CC"/>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D9D9D9"/>
        <bgColor rgb="00D9D9D9"/>
      </patternFill>
    </fill>
  </fills>
  <borders count="2">
    <border>
      <left/>
      <right/>
      <top/>
      <bottom/>
      <diagonal/>
    </border>
    <border>
      <left style="thin"/>
      <right style="thin"/>
      <top style="thin"/>
      <bottom style="thin"/>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3" fillId="0" borderId="1"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6" fillId="2" borderId="1" pivotButton="0" quotePrefix="0" xfId="0"/>
    <xf numFmtId="0" fontId="4" fillId="0" borderId="1" pivotButton="0" quotePrefix="0" xfId="0"/>
    <xf numFmtId="0" fontId="6" fillId="2" borderId="1" applyAlignment="1" pivotButton="0" quotePrefix="0" xfId="0">
      <alignment horizontal="center" vertical="top" wrapText="1"/>
    </xf>
    <xf numFmtId="0" fontId="7" fillId="3" borderId="1" pivotButton="0" quotePrefix="0" xfId="0"/>
    <xf numFmtId="0" fontId="0" fillId="3" borderId="1" pivotButton="0" quotePrefix="0" xfId="0"/>
    <xf numFmtId="0" fontId="5" fillId="0" borderId="1" applyAlignment="1" pivotButton="0" quotePrefix="0" xfId="0">
      <alignment vertical="top" wrapText="1"/>
    </xf>
    <xf numFmtId="0" fontId="0" fillId="0" borderId="1" pivotButton="0" quotePrefix="0" xfId="0"/>
    <xf numFmtId="0" fontId="3" fillId="4" borderId="1" applyAlignment="1" pivotButton="0" quotePrefix="0" xfId="0">
      <alignment vertical="top" wrapText="1"/>
    </xf>
    <xf numFmtId="0" fontId="3" fillId="5" borderId="1" applyAlignment="1" pivotButton="0" quotePrefix="0" xfId="0">
      <alignment vertical="top" wrapText="1"/>
    </xf>
    <xf numFmtId="0" fontId="4" fillId="6" borderId="1" pivotButton="0" quotePrefix="0" xfId="0"/>
    <xf numFmtId="0" fontId="4" fillId="7" borderId="1" pivotButton="0" quotePrefix="0" xfId="0"/>
    <xf numFmtId="0" fontId="4" fillId="8" borderId="1" pivotButton="0" quotePrefix="0" xfId="0"/>
    <xf numFmtId="0" fontId="4" fillId="9" borderId="1" pivotButton="0" quotePrefix="0" xfId="0"/>
    <xf numFmtId="164" fontId="4" fillId="0" borderId="1" pivotButton="0" quotePrefix="0" xfId="0"/>
    <xf numFmtId="0" fontId="5"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86"/>
  <sheetViews>
    <sheetView workbookViewId="0">
      <selection activeCell="A1" sqref="A1"/>
    </sheetView>
  </sheetViews>
  <sheetFormatPr baseColWidth="8" defaultRowHeight="15"/>
  <cols>
    <col width="25" customWidth="1" min="1" max="1"/>
    <col width="6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1">
      <c r="A1" s="1" t="inlineStr">
        <is>
          <t>INDEPENDENT ASSESSMENT — METHODOLOGY &amp; APPROACH</t>
        </is>
      </c>
    </row>
    <row r="2">
      <c r="A2" s="2" t="inlineStr">
        <is>
          <t>BNM RMiT IESP — Emerging Technology Assessment</t>
        </is>
      </c>
    </row>
    <row r="4">
      <c r="A4" s="2" t="inlineStr">
        <is>
          <t>ENGAGEMENT DETAILS</t>
        </is>
      </c>
    </row>
    <row r="5">
      <c r="A5" s="3" t="inlineStr">
        <is>
          <t>Entity Name:</t>
        </is>
      </c>
      <c r="B5" s="4" t="inlineStr">
        <is>
          <t>[Entity Name]</t>
        </is>
      </c>
    </row>
    <row r="6">
      <c r="A6" s="3" t="inlineStr">
        <is>
          <t>Engagement Type:</t>
        </is>
      </c>
      <c r="B6" s="4" t="inlineStr">
        <is>
          <t>Emerging Technology IESP Assessment (Pre-Implementation or Independent Attestation)</t>
        </is>
      </c>
    </row>
    <row r="7">
      <c r="A7" s="3" t="inlineStr">
        <is>
          <t>Regulatory Basis:</t>
        </is>
      </c>
      <c r="B7" s="4" t="inlineStr">
        <is>
          <t>Paragraph 17.1 / Appendix 7, mapped to Appendix 9</t>
        </is>
      </c>
    </row>
    <row r="8">
      <c r="A8" s="3" t="inlineStr">
        <is>
          <t>Assessment Date:</t>
        </is>
      </c>
      <c r="B8" s="4" t="inlineStr">
        <is>
          <t>[DD/MM/YYYY]</t>
        </is>
      </c>
    </row>
    <row r="9">
      <c r="A9" s="3" t="inlineStr">
        <is>
          <t>Assessment Period:</t>
        </is>
      </c>
      <c r="B9" s="4" t="inlineStr">
        <is>
          <t>[Start Date] to [End Date]</t>
        </is>
      </c>
    </row>
    <row r="10">
      <c r="A10" s="3" t="inlineStr">
        <is>
          <t>Lead Assessor:</t>
        </is>
      </c>
      <c r="B10" s="4" t="inlineStr">
        <is>
          <t>[Name, Qualification]</t>
        </is>
      </c>
    </row>
    <row r="11">
      <c r="A11" s="3" t="inlineStr">
        <is>
          <t>Engagement Reference:</t>
        </is>
      </c>
      <c r="B11" s="4" t="inlineStr">
        <is>
          <t>[Ref Number]</t>
        </is>
      </c>
    </row>
    <row r="12">
      <c r="A12" s="3" t="inlineStr">
        <is>
          <t>Report Classification:</t>
        </is>
      </c>
      <c r="B12" s="4" t="inlineStr">
        <is>
          <t>Confidential (Sulit)</t>
        </is>
      </c>
    </row>
    <row r="14">
      <c r="A14" s="2" t="inlineStr">
        <is>
          <t>SCOPE OF ASSESSMENT</t>
        </is>
      </c>
    </row>
    <row r="15">
      <c r="A15" s="5" t="inlineStr">
        <is>
          <t>This assessment is conducted pursuant to BNM RMiT (BNM/RH/PD 028-98, 28 Nov 2025), Appendix 7 and Appendix 9. Where emerging technology is deployed on cloud infrastructure, the IESP-Cloud-WorkProgram.xlsx (Appendix 10) must also be used in conjunction with this workbook.</t>
        </is>
      </c>
    </row>
    <row r="16">
      <c r="A16" s="5" t="inlineStr">
        <is>
          <t>Assessment covers: (1) Appendix 9 — Emerging Technology (2 BNM items + 5 best practice domains), (2) Appendix 7 Part D — Minimum Controls.</t>
        </is>
      </c>
    </row>
    <row r="18">
      <c r="A18" s="2" t="inlineStr">
        <is>
          <t>ENGAGEMENT MODE</t>
        </is>
      </c>
    </row>
    <row r="19">
      <c r="A19" s="3" t="inlineStr">
        <is>
          <t>Design Adequacy (Pre-Implementation):</t>
        </is>
      </c>
    </row>
    <row r="20">
      <c r="A20" s="5" t="inlineStr">
        <is>
          <t>Assess whether proposed/planned controls are designed to meet the requirement. Evidence is primarily documentary: architecture designs, policies, vendor assessments, staging test results.</t>
        </is>
      </c>
    </row>
    <row r="21">
      <c r="A21" s="3" t="inlineStr">
        <is>
          <t>Operating Effectiveness (Independent Attestation):</t>
        </is>
      </c>
    </row>
    <row r="22">
      <c r="A22" s="5" t="inlineStr">
        <is>
          <t>Assess whether controls operated effectively during the assessment period. Evidence is observation, sampling, re-performance, system-generated logs. Requires defined sampling methodology.</t>
        </is>
      </c>
    </row>
    <row r="24">
      <c r="A24" s="2" t="inlineStr">
        <is>
          <t>ASSESSMENT LEVELS</t>
        </is>
      </c>
    </row>
    <row r="25">
      <c r="A25" s="3" t="inlineStr">
        <is>
          <t>ORG</t>
        </is>
      </c>
      <c r="B25" s="5" t="inlineStr">
        <is>
          <t>Organisation-level. Assessed once per engagement (policies, governance, frameworks).</t>
        </is>
      </c>
    </row>
    <row r="26">
      <c r="A26" s="3" t="inlineStr">
        <is>
          <t>PLATFORM</t>
        </is>
      </c>
      <c r="B26" s="5" t="inlineStr">
        <is>
          <t>Platform/CSP-level. Assessed per platform in scope (configurations, controls per CSP).</t>
        </is>
      </c>
    </row>
    <row r="27">
      <c r="A27" s="3" t="inlineStr">
        <is>
          <t>WORKLOAD</t>
        </is>
      </c>
      <c r="B27" s="5" t="inlineStr">
        <is>
          <t>System/application-level. Assessed per critical system using sampling.</t>
        </is>
      </c>
    </row>
    <row r="29">
      <c r="A29" s="2" t="inlineStr">
        <is>
          <t>ASSESSMENT METHODS</t>
        </is>
      </c>
    </row>
    <row r="30">
      <c r="A30" s="3" t="inlineStr">
        <is>
          <t>Inspection</t>
        </is>
      </c>
      <c r="B30" s="5" t="inlineStr">
        <is>
          <t>Examination of documents, records, policies, configurations, and tangible evidence.</t>
        </is>
      </c>
    </row>
    <row r="31">
      <c r="A31" s="3" t="inlineStr">
        <is>
          <t>Inquiry</t>
        </is>
      </c>
      <c r="B31" s="5" t="inlineStr">
        <is>
          <t>Interviews with management, process owners, and staff.</t>
        </is>
      </c>
    </row>
    <row r="32">
      <c r="A32" s="3" t="inlineStr">
        <is>
          <t>Observation</t>
        </is>
      </c>
      <c r="B32" s="5" t="inlineStr">
        <is>
          <t>Direct observation of processes, systems, and activities.</t>
        </is>
      </c>
    </row>
    <row r="33">
      <c r="A33" s="3" t="inlineStr">
        <is>
          <t>Confirmation</t>
        </is>
      </c>
      <c r="B33" s="5" t="inlineStr">
        <is>
          <t>Verification with external or independent parties.</t>
        </is>
      </c>
    </row>
    <row r="34">
      <c r="A34" s="3" t="inlineStr">
        <is>
          <t>Re-performance</t>
        </is>
      </c>
      <c r="B34" s="5" t="inlineStr">
        <is>
          <t>IESP independently re-performs the control procedure.</t>
        </is>
      </c>
    </row>
    <row r="36">
      <c r="A36" s="2" t="inlineStr">
        <is>
          <t>CONCLUSION SCALE</t>
        </is>
      </c>
    </row>
    <row r="37">
      <c r="A37" s="3" t="inlineStr">
        <is>
          <t>Compliant</t>
        </is>
      </c>
      <c r="B37" s="5" t="inlineStr">
        <is>
          <t>Control fully implemented and operating effectively. Evidence supports regulatory criteria are met.</t>
        </is>
      </c>
    </row>
    <row r="38">
      <c r="A38" s="3" t="inlineStr">
        <is>
          <t>Partially Compliant</t>
        </is>
      </c>
      <c r="B38" s="5" t="inlineStr">
        <is>
          <t>Implemented but with gaps in scope, coverage, documentation, or effectiveness.</t>
        </is>
      </c>
    </row>
    <row r="39">
      <c r="A39" s="3" t="inlineStr">
        <is>
          <t>Non-Compliant</t>
        </is>
      </c>
      <c r="B39" s="5" t="inlineStr">
        <is>
          <t>Absent, fundamentally deficient, or not operating. Regulatory criteria not met.</t>
        </is>
      </c>
    </row>
    <row r="40">
      <c r="A40" s="3" t="inlineStr">
        <is>
          <t>N/A</t>
        </is>
      </c>
      <c r="B40" s="5" t="inlineStr">
        <is>
          <t>Not applicable to entity's operations. Justification documented.</t>
        </is>
      </c>
    </row>
    <row r="42">
      <c r="A42" s="2" t="inlineStr">
        <is>
          <t>EVIDENCE HIERARCHY (prefer higher-ranked)</t>
        </is>
      </c>
    </row>
    <row r="43">
      <c r="A43" s="3" t="inlineStr">
        <is>
          <t>Rank 1</t>
        </is>
      </c>
      <c r="B43" s="4" t="inlineStr">
        <is>
          <t>Direct observation — IESP directly observes control in operation</t>
        </is>
      </c>
    </row>
    <row r="44">
      <c r="A44" s="3" t="inlineStr">
        <is>
          <t>Rank 2</t>
        </is>
      </c>
      <c r="B44" s="4" t="inlineStr">
        <is>
          <t>Independent confirmation — Third-party evidence (SOC 2, certifications)</t>
        </is>
      </c>
    </row>
    <row r="45">
      <c r="A45" s="3" t="inlineStr">
        <is>
          <t>Rank 3</t>
        </is>
      </c>
      <c r="B45" s="4" t="inlineStr">
        <is>
          <t>System-generated — Logs, configurations without manual intervention</t>
        </is>
      </c>
    </row>
    <row r="46">
      <c r="A46" s="3" t="inlineStr">
        <is>
          <t>Rank 4</t>
        </is>
      </c>
      <c r="B46" s="4" t="inlineStr">
        <is>
          <t>Re-performance — IESP re-performs control procedure</t>
        </is>
      </c>
    </row>
    <row r="47">
      <c r="A47" s="3" t="inlineStr">
        <is>
          <t>Rank 5</t>
        </is>
      </c>
      <c r="B47" s="4" t="inlineStr">
        <is>
          <t>Documentary — Policies, procedures, meeting minutes</t>
        </is>
      </c>
    </row>
    <row r="48">
      <c r="A48" s="3" t="inlineStr">
        <is>
          <t>Rank 6</t>
        </is>
      </c>
      <c r="B48" s="4" t="inlineStr">
        <is>
          <t>Inquiry — Verbal representations from FI personnel</t>
        </is>
      </c>
    </row>
    <row r="50">
      <c r="A50" s="2" t="inlineStr">
        <is>
          <t>SAMPLING METHODOLOGY</t>
        </is>
      </c>
    </row>
    <row r="51">
      <c r="A51" s="3" t="inlineStr">
        <is>
          <t>Sampling Approach:</t>
        </is>
      </c>
      <c r="B51" s="5" t="inlineStr">
        <is>
          <t>Judgmental (not statistical) — appropriate for limited assurance engagements under BNM RMiT. Sample sizes are based on population size and control risk tier.</t>
        </is>
      </c>
    </row>
    <row r="53">
      <c r="A53" s="3" t="inlineStr">
        <is>
          <t>Sample Size Table:</t>
        </is>
      </c>
    </row>
    <row r="54">
      <c r="A54" s="6" t="inlineStr">
        <is>
          <t>Population Size</t>
        </is>
      </c>
      <c r="B54" s="6" t="inlineStr">
        <is>
          <t>Standard Risk</t>
        </is>
      </c>
      <c r="C54" s="6" t="inlineStr">
        <is>
          <t>High Risk</t>
        </is>
      </c>
      <c r="D54" s="6" t="inlineStr">
        <is>
          <t>Rationale</t>
        </is>
      </c>
    </row>
    <row r="55">
      <c r="A55" s="7" t="inlineStr">
        <is>
          <t>1-5</t>
        </is>
      </c>
      <c r="B55" s="7" t="inlineStr">
        <is>
          <t>All</t>
        </is>
      </c>
      <c r="C55" s="7" t="inlineStr">
        <is>
          <t>All</t>
        </is>
      </c>
      <c r="D55" s="7" t="inlineStr">
        <is>
          <t>Full coverage feasible</t>
        </is>
      </c>
    </row>
    <row r="56">
      <c r="A56" s="7" t="inlineStr">
        <is>
          <t>6-15</t>
        </is>
      </c>
      <c r="B56" s="7" t="inlineStr">
        <is>
          <t>3</t>
        </is>
      </c>
      <c r="C56" s="7" t="inlineStr">
        <is>
          <t>5</t>
        </is>
      </c>
      <c r="D56" s="7" t="inlineStr">
        <is>
          <t>~25-40% coverage</t>
        </is>
      </c>
    </row>
    <row r="57">
      <c r="A57" s="7" t="inlineStr">
        <is>
          <t>16-50</t>
        </is>
      </c>
      <c r="B57" s="7" t="inlineStr">
        <is>
          <t>5</t>
        </is>
      </c>
      <c r="C57" s="7" t="inlineStr">
        <is>
          <t>8</t>
        </is>
      </c>
      <c r="D57" s="7" t="inlineStr">
        <is>
          <t>Sufficient for pattern detection</t>
        </is>
      </c>
    </row>
    <row r="58">
      <c r="A58" s="7" t="inlineStr">
        <is>
          <t>51-100</t>
        </is>
      </c>
      <c r="B58" s="7" t="inlineStr">
        <is>
          <t>8</t>
        </is>
      </c>
      <c r="C58" s="7" t="inlineStr">
        <is>
          <t>12</t>
        </is>
      </c>
      <c r="D58" s="7" t="inlineStr">
        <is>
          <t>Diminishing returns beyond this</t>
        </is>
      </c>
    </row>
    <row r="59">
      <c r="A59" s="7" t="inlineStr">
        <is>
          <t>100+</t>
        </is>
      </c>
      <c r="B59" s="7" t="inlineStr">
        <is>
          <t>10</t>
        </is>
      </c>
      <c r="C59" s="7" t="inlineStr">
        <is>
          <t>15</t>
        </is>
      </c>
      <c r="D59" s="7" t="inlineStr">
        <is>
          <t>Cap with stratification</t>
        </is>
      </c>
    </row>
    <row r="61">
      <c r="A61" s="3" t="inlineStr">
        <is>
          <t>Time-Based Evidence Coverage:</t>
        </is>
      </c>
    </row>
    <row r="62">
      <c r="A62" s="6" t="inlineStr">
        <is>
          <t>Evidence Type</t>
        </is>
      </c>
      <c r="B62" s="6" t="inlineStr">
        <is>
          <t>Coverage Period</t>
        </is>
      </c>
      <c r="C62" s="6" t="inlineStr">
        <is>
          <t>Rationale</t>
        </is>
      </c>
    </row>
    <row r="63">
      <c r="A63" s="7" t="inlineStr">
        <is>
          <t>Board/committee reports</t>
        </is>
      </c>
      <c r="B63" s="7" t="inlineStr">
        <is>
          <t>Last 4 quarters</t>
        </is>
      </c>
      <c r="C63" s="7" t="inlineStr">
        <is>
          <t>Full annual governance cycle</t>
        </is>
      </c>
    </row>
    <row r="64">
      <c r="A64" s="7" t="inlineStr">
        <is>
          <t>Operational records (incidents, changes, patches)</t>
        </is>
      </c>
      <c r="B64" s="7" t="inlineStr">
        <is>
          <t>Last 3-6 months</t>
        </is>
      </c>
      <c r="C64" s="7" t="inlineStr">
        <is>
          <t>Recent operating effectiveness</t>
        </is>
      </c>
    </row>
    <row r="65">
      <c r="A65" s="7" t="inlineStr">
        <is>
          <t>Annual processes (risk assessment, DR test, pen test)</t>
        </is>
      </c>
      <c r="B65" s="7" t="inlineStr">
        <is>
          <t>Last 12 months</t>
        </is>
      </c>
      <c r="C65" s="7" t="inlineStr">
        <is>
          <t>Full cycle</t>
        </is>
      </c>
    </row>
    <row r="66">
      <c r="A66" s="7" t="inlineStr">
        <is>
          <t>Continuous monitoring (SOC, logs, alerts)</t>
        </is>
      </c>
      <c r="B66" s="7" t="inlineStr">
        <is>
          <t>Last 30 days</t>
        </is>
      </c>
      <c r="C66" s="7" t="inlineStr">
        <is>
          <t>Current state verification</t>
        </is>
      </c>
    </row>
    <row r="67">
      <c r="A67" s="7" t="inlineStr">
        <is>
          <t>Policies and frameworks</t>
        </is>
      </c>
      <c r="B67" s="7" t="inlineStr">
        <is>
          <t>Current version + prior</t>
        </is>
      </c>
      <c r="C67" s="7" t="inlineStr">
        <is>
          <t>Change tracking</t>
        </is>
      </c>
    </row>
    <row r="69">
      <c r="A69" s="3" t="inlineStr">
        <is>
          <t>Control Risk Tiers:</t>
        </is>
      </c>
    </row>
    <row r="70">
      <c r="A70" s="6" t="inlineStr">
        <is>
          <t>Tier</t>
        </is>
      </c>
      <c r="B70" s="6" t="inlineStr">
        <is>
          <t>Controls</t>
        </is>
      </c>
      <c r="C70" s="6" t="inlineStr">
        <is>
          <t>Sampling Level</t>
        </is>
      </c>
    </row>
    <row r="71">
      <c r="A71" s="7" t="inlineStr">
        <is>
          <t>Critical</t>
        </is>
      </c>
      <c r="B71" s="7" t="inlineStr">
        <is>
          <t>Governance framework, SOC, incident response, regulatory notification, BCM, customer data protection</t>
        </is>
      </c>
      <c r="C71" s="7" t="inlineStr">
        <is>
          <t>High risk samples</t>
        </is>
      </c>
    </row>
    <row r="72">
      <c r="A72" s="7" t="inlineStr">
        <is>
          <t>Standard</t>
        </is>
      </c>
      <c r="B72" s="7" t="inlineStr">
        <is>
          <t>Most controls (risk assessment, vuln mgmt, vendor assessment, change mgmt, etc.)</t>
        </is>
      </c>
      <c r="C72" s="7" t="inlineStr">
        <is>
          <t>Standard risk samples</t>
        </is>
      </c>
    </row>
    <row r="73">
      <c r="A73" s="7" t="inlineStr">
        <is>
          <t>Conditional</t>
        </is>
      </c>
      <c r="B73" s="7" t="inlineStr">
        <is>
          <t>Emerging tech, specialised areas — may be N/A</t>
        </is>
      </c>
      <c r="C73" s="7" t="inlineStr">
        <is>
          <t>Standard if applicable</t>
        </is>
      </c>
    </row>
    <row r="75">
      <c r="A75" s="2" t="inlineStr">
        <is>
          <t>LIMITATIONS</t>
        </is>
      </c>
    </row>
    <row r="76">
      <c r="A76" s="5" t="inlineStr">
        <is>
          <t>1. Limited assurance engagement — conclusions based on procedures performed, not absolute assurance.</t>
        </is>
      </c>
    </row>
    <row r="77">
      <c r="A77" s="5" t="inlineStr">
        <is>
          <t>2. Point-in-time (design adequacy) or period assessment (operating effectiveness).</t>
        </is>
      </c>
    </row>
    <row r="78">
      <c r="A78" s="5" t="inlineStr">
        <is>
          <t>3. Reliance on management representations and documentation provided.</t>
        </is>
      </c>
    </row>
    <row r="79">
      <c r="A79" s="5" t="inlineStr">
        <is>
          <t>4. Scope guided by BNM RMiT (BNM/RH/PD 028-98, 28 Nov 2025).</t>
        </is>
      </c>
    </row>
    <row r="80">
      <c r="A80" s="5" t="inlineStr">
        <is>
          <t>5. Does not constitute legal or regulatory advice.</t>
        </is>
      </c>
    </row>
    <row r="81">
      <c r="A81" s="5" t="inlineStr">
        <is>
          <t>6. The IESP remains solely responsible for the sufficiency of work performed.</t>
        </is>
      </c>
    </row>
    <row r="83">
      <c r="A83" s="2" t="inlineStr">
        <is>
          <t>SIGN-OFF</t>
        </is>
      </c>
    </row>
    <row r="84">
      <c r="A84" s="3" t="inlineStr">
        <is>
          <t>Lead Assessor:</t>
        </is>
      </c>
      <c r="B84" s="4" t="inlineStr">
        <is>
          <t>________________________</t>
        </is>
      </c>
      <c r="F84" s="3" t="inlineStr">
        <is>
          <t>Date:</t>
        </is>
      </c>
      <c r="G84" s="4" t="inlineStr">
        <is>
          <t>______________</t>
        </is>
      </c>
    </row>
    <row r="85">
      <c r="A85" s="3" t="inlineStr">
        <is>
          <t>Quality Reviewer:</t>
        </is>
      </c>
      <c r="B85" s="4" t="inlineStr">
        <is>
          <t>________________________</t>
        </is>
      </c>
      <c r="F85" s="3" t="inlineStr">
        <is>
          <t>Date:</t>
        </is>
      </c>
      <c r="G85" s="4" t="inlineStr">
        <is>
          <t>______________</t>
        </is>
      </c>
    </row>
    <row r="86">
      <c r="A86" s="3" t="inlineStr">
        <is>
          <t>Entity Representative:</t>
        </is>
      </c>
      <c r="B86" s="4" t="inlineStr">
        <is>
          <t>________________________</t>
        </is>
      </c>
      <c r="F86" s="3" t="inlineStr">
        <is>
          <t>Date:</t>
        </is>
      </c>
      <c r="G86" s="4" t="inlineStr">
        <is>
          <t>______________</t>
        </is>
      </c>
    </row>
  </sheetData>
  <mergeCells count="25">
    <mergeCell ref="A77:N77"/>
    <mergeCell ref="A83:N83"/>
    <mergeCell ref="A24:N24"/>
    <mergeCell ref="A15:N15"/>
    <mergeCell ref="B51:N51"/>
    <mergeCell ref="A36:N36"/>
    <mergeCell ref="A1:N1"/>
    <mergeCell ref="A79:N79"/>
    <mergeCell ref="A78:N78"/>
    <mergeCell ref="A16:N16"/>
    <mergeCell ref="A75:N75"/>
    <mergeCell ref="A80:N80"/>
    <mergeCell ref="A18:N18"/>
    <mergeCell ref="A50:N50"/>
    <mergeCell ref="A21:N21"/>
    <mergeCell ref="A2:N2"/>
    <mergeCell ref="A76:N76"/>
    <mergeCell ref="A42:N42"/>
    <mergeCell ref="A14:N14"/>
    <mergeCell ref="A22:N22"/>
    <mergeCell ref="A4:N4"/>
    <mergeCell ref="A20:N20"/>
    <mergeCell ref="A29:N29"/>
    <mergeCell ref="A81:N81"/>
    <mergeCell ref="A19:N1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30" customWidth="1" min="2" max="2"/>
    <col width="40" customWidth="1" min="3" max="3"/>
    <col width="20" customWidth="1" min="4" max="4"/>
    <col width="30" customWidth="1" min="5" max="5"/>
    <col width="20" customWidth="1" min="6" max="6"/>
  </cols>
  <sheetData>
    <row r="1">
      <c r="A1" s="1" t="inlineStr">
        <is>
          <t>ENGAGEMENT SCOPING — BNM RMiT IESP — Emerging Technology Assessment</t>
        </is>
      </c>
    </row>
    <row r="3">
      <c r="A3" s="8" t="inlineStr">
        <is>
          <t>Note: Where emerging technology is deployed on cloud infrastructure, the IESP-Cloud-WorkProgram.xlsx (Appendix 10) must also be used in conjunction with this workbook.</t>
        </is>
      </c>
    </row>
    <row r="5">
      <c r="A5" s="2" t="inlineStr">
        <is>
          <t>ASSESSMENT LEVELS</t>
        </is>
      </c>
    </row>
    <row r="6">
      <c r="A6" s="3" t="inlineStr">
        <is>
          <t>ORG</t>
        </is>
      </c>
      <c r="B6" s="5" t="inlineStr">
        <is>
          <t>Organisation / Enterprise level. Assessed ONCE per engagement. Policies, frameworks, governance structures that apply across all platforms and systems.</t>
        </is>
      </c>
    </row>
    <row r="7">
      <c r="A7" s="3" t="inlineStr">
        <is>
          <t>PLATFORM</t>
        </is>
      </c>
      <c r="B7" s="5" t="inlineStr">
        <is>
          <t>Platform / CSP level. Assessed PER PLATFORM in scope. If the FI uses AWS and Azure, repeat these test steps for each. Covers platform-specific configurations and controls.</t>
        </is>
      </c>
    </row>
    <row r="8">
      <c r="A8" s="3" t="inlineStr">
        <is>
          <t>WORKLOAD</t>
        </is>
      </c>
      <c r="B8" s="5" t="inlineStr">
        <is>
          <t>Workload / Application / System level. Assessed PER CRITICAL SYSTEM in scope using sampling. Covers system-specific deployments, configurations, and arrangements.</t>
        </is>
      </c>
    </row>
    <row r="10">
      <c r="A10" s="2" t="inlineStr">
        <is>
          <t>PLATFORMS / CSPs IN SCOPE</t>
        </is>
      </c>
    </row>
    <row r="11">
      <c r="A11" s="9" t="inlineStr">
        <is>
          <t>#</t>
        </is>
      </c>
      <c r="B11" s="9" t="inlineStr">
        <is>
          <t>Platform / CSP</t>
        </is>
      </c>
      <c r="C11" s="9" t="inlineStr">
        <is>
          <t>Service Models (IaaS/PaaS/SaaS)</t>
        </is>
      </c>
      <c r="D11" s="9" t="inlineStr">
        <is>
          <t>Regions</t>
        </is>
      </c>
      <c r="E11" s="9" t="inlineStr">
        <is>
          <t>Contract Ref</t>
        </is>
      </c>
      <c r="F11" s="9" t="inlineStr">
        <is>
          <t>Notes</t>
        </is>
      </c>
    </row>
    <row r="12">
      <c r="A12" s="10" t="inlineStr">
        <is>
          <t>1</t>
        </is>
      </c>
      <c r="B12" s="10" t="inlineStr"/>
      <c r="C12" s="10" t="inlineStr"/>
      <c r="D12" s="10" t="inlineStr"/>
      <c r="E12" s="10" t="inlineStr"/>
      <c r="F12" s="10" t="inlineStr"/>
    </row>
    <row r="13">
      <c r="A13" s="10" t="inlineStr">
        <is>
          <t>2</t>
        </is>
      </c>
      <c r="B13" s="10" t="inlineStr"/>
      <c r="C13" s="10" t="inlineStr"/>
      <c r="D13" s="10" t="inlineStr"/>
      <c r="E13" s="10" t="inlineStr"/>
      <c r="F13" s="10" t="inlineStr"/>
    </row>
    <row r="14">
      <c r="A14" s="10" t="inlineStr">
        <is>
          <t>3</t>
        </is>
      </c>
      <c r="B14" s="10" t="inlineStr"/>
      <c r="C14" s="10" t="inlineStr"/>
      <c r="D14" s="10" t="inlineStr"/>
      <c r="E14" s="10" t="inlineStr"/>
      <c r="F14" s="10" t="inlineStr"/>
    </row>
    <row r="15">
      <c r="A15" s="10" t="inlineStr">
        <is>
          <t>4</t>
        </is>
      </c>
      <c r="B15" s="10" t="inlineStr"/>
      <c r="C15" s="10" t="inlineStr"/>
      <c r="D15" s="10" t="inlineStr"/>
      <c r="E15" s="10" t="inlineStr"/>
      <c r="F15" s="10" t="inlineStr"/>
    </row>
    <row r="16">
      <c r="A16" s="10" t="inlineStr">
        <is>
          <t>5</t>
        </is>
      </c>
      <c r="B16" s="10" t="inlineStr"/>
      <c r="C16" s="10" t="inlineStr"/>
      <c r="D16" s="10" t="inlineStr"/>
      <c r="E16" s="10" t="inlineStr"/>
      <c r="F16" s="10" t="inlineStr"/>
    </row>
    <row r="18">
      <c r="A18" s="2" t="inlineStr">
        <is>
          <t>CRITICAL SYSTEMS / WORKLOADS IN SCOPE</t>
        </is>
      </c>
    </row>
    <row r="19">
      <c r="A19" s="9" t="inlineStr">
        <is>
          <t>#</t>
        </is>
      </c>
      <c r="B19" s="9" t="inlineStr">
        <is>
          <t>System / Application Name</t>
        </is>
      </c>
      <c r="C19" s="9" t="inlineStr">
        <is>
          <t>Platform</t>
        </is>
      </c>
      <c r="D19" s="9" t="inlineStr">
        <is>
          <t>Criticality</t>
        </is>
      </c>
      <c r="E19" s="9" t="inlineStr">
        <is>
          <t>Data Classification</t>
        </is>
      </c>
      <c r="F19" s="9" t="inlineStr">
        <is>
          <t>Notes</t>
        </is>
      </c>
    </row>
    <row r="20">
      <c r="A20" s="10" t="inlineStr">
        <is>
          <t>1</t>
        </is>
      </c>
      <c r="B20" s="10" t="inlineStr"/>
      <c r="C20" s="10" t="inlineStr"/>
      <c r="D20" s="10" t="inlineStr"/>
      <c r="E20" s="10" t="inlineStr"/>
      <c r="F20" s="10" t="inlineStr"/>
    </row>
    <row r="21">
      <c r="A21" s="10" t="inlineStr">
        <is>
          <t>2</t>
        </is>
      </c>
      <c r="B21" s="10" t="inlineStr"/>
      <c r="C21" s="10" t="inlineStr"/>
      <c r="D21" s="10" t="inlineStr"/>
      <c r="E21" s="10" t="inlineStr"/>
      <c r="F21" s="10" t="inlineStr"/>
    </row>
    <row r="22">
      <c r="A22" s="10" t="inlineStr">
        <is>
          <t>3</t>
        </is>
      </c>
      <c r="B22" s="10" t="inlineStr"/>
      <c r="C22" s="10" t="inlineStr"/>
      <c r="D22" s="10" t="inlineStr"/>
      <c r="E22" s="10" t="inlineStr"/>
      <c r="F22" s="10" t="inlineStr"/>
    </row>
    <row r="23">
      <c r="A23" s="10" t="inlineStr">
        <is>
          <t>4</t>
        </is>
      </c>
      <c r="B23" s="10" t="inlineStr"/>
      <c r="C23" s="10" t="inlineStr"/>
      <c r="D23" s="10" t="inlineStr"/>
      <c r="E23" s="10" t="inlineStr"/>
      <c r="F23" s="10" t="inlineStr"/>
    </row>
    <row r="24">
      <c r="A24" s="10" t="inlineStr">
        <is>
          <t>5</t>
        </is>
      </c>
      <c r="B24" s="10" t="inlineStr"/>
      <c r="C24" s="10" t="inlineStr"/>
      <c r="D24" s="10" t="inlineStr"/>
      <c r="E24" s="10" t="inlineStr"/>
      <c r="F24" s="10" t="inlineStr"/>
    </row>
    <row r="25">
      <c r="A25" s="10" t="inlineStr">
        <is>
          <t>6</t>
        </is>
      </c>
      <c r="B25" s="10" t="inlineStr"/>
      <c r="C25" s="10" t="inlineStr"/>
      <c r="D25" s="10" t="inlineStr"/>
      <c r="E25" s="10" t="inlineStr"/>
      <c r="F25" s="10" t="inlineStr"/>
    </row>
    <row r="26">
      <c r="A26" s="10" t="inlineStr">
        <is>
          <t>7</t>
        </is>
      </c>
      <c r="B26" s="10" t="inlineStr"/>
      <c r="C26" s="10" t="inlineStr"/>
      <c r="D26" s="10" t="inlineStr"/>
      <c r="E26" s="10" t="inlineStr"/>
      <c r="F26" s="10" t="inlineStr"/>
    </row>
    <row r="27">
      <c r="A27" s="10" t="inlineStr">
        <is>
          <t>8</t>
        </is>
      </c>
      <c r="B27" s="10" t="inlineStr"/>
      <c r="C27" s="10" t="inlineStr"/>
      <c r="D27" s="10" t="inlineStr"/>
      <c r="E27" s="10" t="inlineStr"/>
      <c r="F27" s="10" t="inlineStr"/>
    </row>
    <row r="28">
      <c r="A28" s="10" t="inlineStr">
        <is>
          <t>9</t>
        </is>
      </c>
      <c r="B28" s="10" t="inlineStr"/>
      <c r="C28" s="10" t="inlineStr"/>
      <c r="D28" s="10" t="inlineStr"/>
      <c r="E28" s="10" t="inlineStr"/>
      <c r="F28" s="10" t="inlineStr"/>
    </row>
    <row r="29">
      <c r="A29" s="10" t="inlineStr">
        <is>
          <t>10</t>
        </is>
      </c>
      <c r="B29" s="10" t="inlineStr"/>
      <c r="C29" s="10" t="inlineStr"/>
      <c r="D29" s="10" t="inlineStr"/>
      <c r="E29" s="10" t="inlineStr"/>
      <c r="F29" s="10" t="inlineStr"/>
    </row>
    <row r="31">
      <c r="A31" s="2" t="inlineStr">
        <is>
          <t>SAMPLING APPROACH</t>
        </is>
      </c>
    </row>
    <row r="32">
      <c r="A32" s="3" t="inlineStr">
        <is>
          <t>Assessment Period:</t>
        </is>
      </c>
      <c r="B32" s="4" t="inlineStr">
        <is>
          <t>[Start Date] to [End Date]</t>
        </is>
      </c>
    </row>
    <row r="33">
      <c r="A33" s="3" t="inlineStr">
        <is>
          <t>User Access Samples:</t>
        </is>
      </c>
      <c r="B33" s="4" t="inlineStr">
        <is>
          <t>[e.g., 20 user accounts, 10 leavers/transfers]</t>
        </is>
      </c>
    </row>
    <row r="34">
      <c r="A34" s="3" t="inlineStr">
        <is>
          <t>Change Management Samples:</t>
        </is>
      </c>
      <c r="B34" s="4" t="inlineStr">
        <is>
          <t>[e.g., 10 recent changes]</t>
        </is>
      </c>
    </row>
    <row r="35">
      <c r="A35" s="3" t="inlineStr">
        <is>
          <t>Incident Samples:</t>
        </is>
      </c>
      <c r="B35" s="4" t="inlineStr">
        <is>
          <t>[e.g., 15 SOC alerts, all significant incidents in period]</t>
        </is>
      </c>
    </row>
    <row r="36">
      <c r="A36" s="3" t="inlineStr">
        <is>
          <t>Firewall Rule Samples:</t>
        </is>
      </c>
      <c r="B36" s="4" t="inlineStr">
        <is>
          <t>[e.g., 20 rules]</t>
        </is>
      </c>
    </row>
    <row r="37">
      <c r="A37" s="3" t="inlineStr">
        <is>
          <t>Configuration Samples:</t>
        </is>
      </c>
      <c r="B37" s="4" t="inlineStr">
        <is>
          <t>[e.g., 10 network devices]</t>
        </is>
      </c>
    </row>
  </sheetData>
  <mergeCells count="15">
    <mergeCell ref="B7:F7"/>
    <mergeCell ref="A10:F10"/>
    <mergeCell ref="B6:F6"/>
    <mergeCell ref="B32:F32"/>
    <mergeCell ref="B34:F34"/>
    <mergeCell ref="B33:F33"/>
    <mergeCell ref="A1:F1"/>
    <mergeCell ref="A5:F5"/>
    <mergeCell ref="A31:F31"/>
    <mergeCell ref="B37:F37"/>
    <mergeCell ref="A18:F18"/>
    <mergeCell ref="B36:F36"/>
    <mergeCell ref="B8:F8"/>
    <mergeCell ref="A3:F3"/>
    <mergeCell ref="B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PLANNING AND SCOPING CHECKLIST</t>
        </is>
      </c>
    </row>
    <row r="3">
      <c r="A3" s="9" t="inlineStr">
        <is>
          <t>Step</t>
        </is>
      </c>
      <c r="B3" s="9" t="inlineStr">
        <is>
          <t>Activity</t>
        </is>
      </c>
      <c r="C3" s="9" t="inlineStr">
        <is>
          <t>Responsible</t>
        </is>
      </c>
      <c r="D3" s="9" t="inlineStr">
        <is>
          <t>Status</t>
        </is>
      </c>
      <c r="E3" s="9" t="inlineStr">
        <is>
          <t>Notes</t>
        </is>
      </c>
    </row>
    <row r="4">
      <c r="A4" s="7" t="inlineStr">
        <is>
          <t>P-01</t>
        </is>
      </c>
      <c r="B4" s="7" t="inlineStr">
        <is>
          <t>Confirm engagement trigger and regulatory basis</t>
        </is>
      </c>
      <c r="C4" s="7" t="inlineStr"/>
      <c r="D4" s="7" t="inlineStr"/>
      <c r="E4" s="7" t="inlineStr"/>
    </row>
    <row r="5">
      <c r="A5" s="7" t="inlineStr">
        <is>
          <t>P-02</t>
        </is>
      </c>
      <c r="B5" s="7" t="inlineStr">
        <is>
          <t>Issue engagement letter with scope, timeline, and deliverables</t>
        </is>
      </c>
      <c r="C5" s="7" t="inlineStr"/>
      <c r="D5" s="7" t="inlineStr"/>
      <c r="E5" s="7" t="inlineStr"/>
    </row>
    <row r="6">
      <c r="A6" s="7" t="inlineStr">
        <is>
          <t>P-03</t>
        </is>
      </c>
      <c r="B6" s="7" t="inlineStr">
        <is>
          <t>Confirm IESP team qualifications and independence (Part C compliance)</t>
        </is>
      </c>
      <c r="C6" s="7" t="inlineStr"/>
      <c r="D6" s="7" t="inlineStr"/>
      <c r="E6" s="7" t="inlineStr"/>
    </row>
    <row r="7">
      <c r="A7" s="7" t="inlineStr">
        <is>
          <t>P-04</t>
        </is>
      </c>
      <c r="B7" s="7" t="inlineStr">
        <is>
          <t>Issue Document Request List (DRL) to the FI</t>
        </is>
      </c>
      <c r="C7" s="7" t="inlineStr"/>
      <c r="D7" s="7" t="inlineStr"/>
      <c r="E7" s="7" t="inlineStr"/>
    </row>
    <row r="8">
      <c r="A8" s="7" t="inlineStr">
        <is>
          <t>P-05</t>
        </is>
      </c>
      <c r="B8" s="7" t="inlineStr">
        <is>
          <t>Obtain and review prior assessment reports and remediation status</t>
        </is>
      </c>
      <c r="C8" s="7" t="inlineStr"/>
      <c r="D8" s="7" t="inlineStr"/>
      <c r="E8" s="7" t="inlineStr"/>
    </row>
    <row r="9">
      <c r="A9" s="7" t="inlineStr">
        <is>
          <t>P-06</t>
        </is>
      </c>
      <c r="B9" s="7" t="inlineStr">
        <is>
          <t>Identify platforms/CSPs in scope and complete scoping sheet</t>
        </is>
      </c>
      <c r="C9" s="7" t="inlineStr"/>
      <c r="D9" s="7" t="inlineStr"/>
      <c r="E9" s="7" t="inlineStr"/>
    </row>
    <row r="10">
      <c r="A10" s="7" t="inlineStr">
        <is>
          <t>P-07</t>
        </is>
      </c>
      <c r="B10" s="7" t="inlineStr">
        <is>
          <t>Identify critical systems/workloads in scope</t>
        </is>
      </c>
      <c r="C10" s="7" t="inlineStr"/>
      <c r="D10" s="7" t="inlineStr"/>
      <c r="E10" s="7" t="inlineStr"/>
    </row>
    <row r="11">
      <c r="A11" s="7" t="inlineStr">
        <is>
          <t>P-08</t>
        </is>
      </c>
      <c r="B11" s="7" t="inlineStr">
        <is>
          <t>Define assessment period and sampling approach</t>
        </is>
      </c>
      <c r="C11" s="7" t="inlineStr"/>
      <c r="D11" s="7" t="inlineStr"/>
      <c r="E11" s="7" t="inlineStr"/>
    </row>
    <row r="12">
      <c r="A12" s="7" t="inlineStr">
        <is>
          <t>P-09</t>
        </is>
      </c>
      <c r="B12" s="7" t="inlineStr">
        <is>
          <t>Determine engagement mode: design adequacy (pre-impl) or operating effectiveness (attestation)</t>
        </is>
      </c>
      <c r="C12" s="7" t="inlineStr"/>
      <c r="D12" s="7" t="inlineStr"/>
      <c r="E12" s="7" t="inlineStr"/>
    </row>
    <row r="13">
      <c r="A13" s="7" t="inlineStr">
        <is>
          <t>P-10</t>
        </is>
      </c>
      <c r="B13" s="7" t="inlineStr">
        <is>
          <t>Determine if higher-risk services criteria apply (customer data, cross-border)</t>
        </is>
      </c>
      <c r="C13" s="7" t="inlineStr"/>
      <c r="D13" s="7" t="inlineStr"/>
      <c r="E13" s="7" t="inlineStr"/>
    </row>
    <row r="14">
      <c r="A14" s="7" t="inlineStr">
        <is>
          <t>P-11</t>
        </is>
      </c>
      <c r="B14" s="7" t="inlineStr">
        <is>
          <t>Schedule site visits / remote assessment sessions</t>
        </is>
      </c>
      <c r="C14" s="7" t="inlineStr"/>
      <c r="D14" s="7" t="inlineStr"/>
      <c r="E14" s="7" t="inlineStr"/>
    </row>
    <row r="15">
      <c r="A15" s="7" t="inlineStr">
        <is>
          <t>P-12</t>
        </is>
      </c>
      <c r="B15" s="7" t="inlineStr">
        <is>
          <t>Conduct kick-off meeting with FI management</t>
        </is>
      </c>
      <c r="C15" s="7" t="inlineStr"/>
      <c r="D15" s="7" t="inlineStr"/>
      <c r="E15" s="7" t="inlineStr"/>
    </row>
    <row r="16">
      <c r="A16" s="7" t="inlineStr">
        <is>
          <t>P-13</t>
        </is>
      </c>
      <c r="B16" s="7" t="inlineStr">
        <is>
          <t>Receive and catalogue DRL responses</t>
        </is>
      </c>
      <c r="C16" s="7" t="inlineStr"/>
      <c r="D16" s="7" t="inlineStr"/>
      <c r="E16" s="7" t="inlineStr"/>
    </row>
    <row r="17">
      <c r="A17" s="7" t="inlineStr">
        <is>
          <t>P-14</t>
        </is>
      </c>
      <c r="B17" s="7" t="inlineStr">
        <is>
          <t>Finalise scoping memorandum</t>
        </is>
      </c>
      <c r="C17" s="7" t="inlineStr"/>
      <c r="D17" s="7" t="inlineStr"/>
      <c r="E17" s="7" t="inlineStr"/>
    </row>
  </sheetData>
  <mergeCells count="1">
    <mergeCell ref="A1:E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44"/>
  <sheetViews>
    <sheetView workbookViewId="0">
      <selection activeCell="A1" sqref="A1"/>
    </sheetView>
  </sheetViews>
  <sheetFormatPr baseColWidth="8" defaultRowHeight="15"/>
  <cols>
    <col width="14" customWidth="1" min="1" max="1"/>
    <col width="10" customWidth="1" min="2" max="2"/>
    <col width="11" customWidth="1" min="3" max="3"/>
    <col width="22" customWidth="1" min="4" max="4"/>
    <col width="28" customWidth="1" min="5" max="5"/>
    <col width="50" customWidth="1" min="6" max="6"/>
    <col width="35" customWidth="1" min="7" max="7"/>
    <col width="14" customWidth="1" min="8" max="8"/>
    <col width="30" customWidth="1" min="9" max="9"/>
    <col width="25" customWidth="1" min="10" max="10"/>
    <col width="12" customWidth="1" min="11" max="11"/>
    <col width="30" customWidth="1" min="12" max="12"/>
    <col width="16" customWidth="1" min="13" max="13"/>
    <col width="30" customWidth="1" min="14" max="14"/>
  </cols>
  <sheetData>
    <row r="1">
      <c r="A1" s="11" t="inlineStr">
        <is>
          <t>BNM Ref</t>
        </is>
      </c>
      <c r="B1" s="11" t="inlineStr">
        <is>
          <t>Ref</t>
        </is>
      </c>
      <c r="C1" s="11" t="inlineStr">
        <is>
          <t>Level</t>
        </is>
      </c>
      <c r="D1" s="11" t="inlineStr">
        <is>
          <t>Control Domain</t>
        </is>
      </c>
      <c r="E1" s="11" t="inlineStr">
        <is>
          <t>Sub-Procedure</t>
        </is>
      </c>
      <c r="F1" s="11" t="inlineStr">
        <is>
          <t>Assessment Procedures</t>
        </is>
      </c>
      <c r="G1" s="11" t="inlineStr">
        <is>
          <t>Expected Evidence</t>
        </is>
      </c>
      <c r="H1" s="11" t="inlineStr">
        <is>
          <t>Method</t>
        </is>
      </c>
      <c r="I1" s="11" t="inlineStr">
        <is>
          <t>Procedures Performed</t>
        </is>
      </c>
      <c r="J1" s="11" t="inlineStr">
        <is>
          <t>Evidence Obtained</t>
        </is>
      </c>
      <c r="K1" s="11" t="inlineStr">
        <is>
          <t>Evidence Ref</t>
        </is>
      </c>
      <c r="L1" s="11" t="inlineStr">
        <is>
          <t>Observations</t>
        </is>
      </c>
      <c r="M1" s="11" t="inlineStr">
        <is>
          <t>Conclusion</t>
        </is>
      </c>
      <c r="N1" s="11" t="inlineStr">
        <is>
          <t>Recommendations</t>
        </is>
      </c>
    </row>
    <row r="2">
      <c r="A2" s="12" t="inlineStr">
        <is>
          <t>BNM Appendix 9 Item 1 — TRMF Governance for Emerging Tech</t>
        </is>
      </c>
      <c r="B2" s="13" t="n"/>
      <c r="C2" s="13" t="n"/>
      <c r="D2" s="13" t="n"/>
      <c r="E2" s="13" t="n"/>
      <c r="F2" s="13" t="n"/>
      <c r="G2" s="13" t="n"/>
      <c r="H2" s="13" t="n"/>
      <c r="I2" s="13" t="n"/>
      <c r="J2" s="13" t="n"/>
      <c r="K2" s="13" t="n"/>
      <c r="L2" s="13" t="n"/>
      <c r="M2" s="13" t="n"/>
      <c r="N2" s="13" t="n"/>
    </row>
    <row r="3">
      <c r="A3" s="14" t="inlineStr">
        <is>
          <t>BNM requires the FI to integrate emerging technology governance into the TRMF. The board must approve the technology risk appetite, and the framework must cover risk assessment, acceptance criteria, and ongoing monitoring. This is a regulatory requirement with 4 sub-items.</t>
        </is>
      </c>
      <c r="B3" s="15" t="n"/>
      <c r="C3" s="15" t="n"/>
      <c r="D3" s="15" t="n"/>
      <c r="E3" s="15" t="n"/>
      <c r="F3" s="15" t="n"/>
      <c r="G3" s="15" t="n"/>
      <c r="H3" s="15" t="n"/>
      <c r="I3" s="15" t="n"/>
      <c r="J3" s="15" t="n"/>
      <c r="K3" s="15" t="n"/>
      <c r="L3" s="15" t="n"/>
      <c r="M3" s="15" t="n"/>
      <c r="N3" s="15" t="n"/>
    </row>
    <row r="4">
      <c r="A4" s="16" t="inlineStr">
        <is>
          <t>App9-1</t>
        </is>
      </c>
      <c r="B4" s="16" t="inlineStr">
        <is>
          <t>AI-01</t>
        </is>
      </c>
      <c r="C4" s="16" t="inlineStr">
        <is>
          <t>ORG</t>
        </is>
      </c>
      <c r="D4" s="16" t="inlineStr">
        <is>
          <t>TRMF Governance for Emerging Tech</t>
        </is>
      </c>
      <c r="E4" s="16" t="inlineStr">
        <is>
          <t>Board-approved governance framework integrated with TRMF for emerging technology</t>
        </is>
      </c>
      <c r="F4" s="16" t="inlineStr"/>
      <c r="G4" s="16" t="inlineStr"/>
      <c r="H4" s="16" t="inlineStr"/>
      <c r="I4" s="16" t="inlineStr"/>
      <c r="J4" s="16" t="inlineStr"/>
      <c r="K4" s="16" t="inlineStr"/>
      <c r="L4" s="16" t="inlineStr"/>
      <c r="M4" s="17" t="inlineStr"/>
      <c r="N4" s="17" t="inlineStr"/>
    </row>
    <row r="5">
      <c r="A5" s="7" t="inlineStr">
        <is>
          <t>App9-1(a)</t>
        </is>
      </c>
      <c r="B5" s="7" t="inlineStr">
        <is>
          <t>AI-01.1</t>
        </is>
      </c>
      <c r="C5" s="7" t="inlineStr"/>
      <c r="D5" s="7" t="inlineStr"/>
      <c r="E5" s="7" t="inlineStr">
        <is>
          <t>Governance framework and accountability</t>
        </is>
      </c>
      <c r="F5" s="7" t="inlineStr">
        <is>
          <t>1. Obtain the FI's AI/emerging tech governance framework.
2. Verify it defines accountability, decision rights, risk management, and ethical principles.
3. Check designated committee has oversight.
4. Verify framework approved at board/senior management level.</t>
        </is>
      </c>
      <c r="G5" s="7" t="inlineStr">
        <is>
          <t>AI governance framework; Committee ToR; Board/senior management approval records</t>
        </is>
      </c>
      <c r="H5" s="7" t="inlineStr">
        <is>
          <t>Inspection</t>
        </is>
      </c>
      <c r="I5" s="7" t="inlineStr"/>
      <c r="J5" s="7" t="inlineStr"/>
      <c r="K5" s="7" t="inlineStr"/>
      <c r="L5" s="7" t="inlineStr"/>
      <c r="M5" s="7" t="inlineStr"/>
      <c r="N5" s="7" t="inlineStr"/>
    </row>
    <row r="6">
      <c r="A6" s="7" t="inlineStr">
        <is>
          <t>App9-1(b)</t>
        </is>
      </c>
      <c r="B6" s="7" t="inlineStr">
        <is>
          <t>AI-01.2</t>
        </is>
      </c>
      <c r="C6" s="7" t="inlineStr"/>
      <c r="D6" s="7" t="inlineStr"/>
      <c r="E6" s="7" t="inlineStr">
        <is>
          <t>Roles and responsibilities</t>
        </is>
      </c>
      <c r="F6" s="7" t="inlineStr">
        <is>
          <t>1. Review organisational structure for AI/emerging tech.
2. Verify defined roles: model owner, developer, validator, risk manager, compliance officer.
3. Check each deployed model/technology has an accountable owner.
4. Verify sufficient expertise exists.</t>
        </is>
      </c>
      <c r="G6" s="7" t="inlineStr">
        <is>
          <t>Org chart (AI function); Role descriptions; Model ownership register; Skills inventory</t>
        </is>
      </c>
      <c r="H6" s="7" t="inlineStr">
        <is>
          <t>Inspection / Inquiry</t>
        </is>
      </c>
      <c r="I6" s="7" t="inlineStr"/>
      <c r="J6" s="7" t="inlineStr"/>
      <c r="K6" s="7" t="inlineStr"/>
      <c r="L6" s="7" t="inlineStr"/>
      <c r="M6" s="7" t="inlineStr"/>
      <c r="N6" s="7" t="inlineStr"/>
    </row>
    <row r="7">
      <c r="A7" s="7" t="inlineStr">
        <is>
          <t>App9-1(c)</t>
        </is>
      </c>
      <c r="B7" s="7" t="inlineStr">
        <is>
          <t>AI-01.3</t>
        </is>
      </c>
      <c r="C7" s="7" t="inlineStr"/>
      <c r="D7" s="7" t="inlineStr"/>
      <c r="E7" s="7" t="inlineStr">
        <is>
          <t>Risk assessment methodology</t>
        </is>
      </c>
      <c r="F7" s="7" t="inlineStr">
        <is>
          <t>1. Obtain risk assessment methodology for AI/emerging tech.
2. Verify it covers: model risk, data risk, bias/fairness, explainability, operational, regulatory.
3. Check methodology is proportionate to risk tier.
4. Verify methodology reviewed and updated periodically.</t>
        </is>
      </c>
      <c r="G7" s="7" t="inlineStr">
        <is>
          <t>Risk assessment methodology; Risk tier definitions; Review history</t>
        </is>
      </c>
      <c r="H7" s="7" t="inlineStr">
        <is>
          <t>Inspection</t>
        </is>
      </c>
      <c r="I7" s="7" t="inlineStr"/>
      <c r="J7" s="7" t="inlineStr"/>
      <c r="K7" s="7" t="inlineStr"/>
      <c r="L7" s="7" t="inlineStr"/>
      <c r="M7" s="7" t="inlineStr"/>
      <c r="N7" s="7" t="inlineStr"/>
    </row>
    <row r="8">
      <c r="A8" s="7" t="inlineStr">
        <is>
          <t>App9-1(d)</t>
        </is>
      </c>
      <c r="B8" s="7" t="inlineStr">
        <is>
          <t>AI-01.4</t>
        </is>
      </c>
      <c r="C8" s="7" t="inlineStr"/>
      <c r="D8" s="7" t="inlineStr"/>
      <c r="E8" s="7" t="inlineStr">
        <is>
          <t>Technology radar and innovation governance</t>
        </is>
      </c>
      <c r="F8" s="7" t="inlineStr">
        <is>
          <t>1. Check whether the FI maintains a technology radar or equivalent mechanism.
2. Verify it tracks emerging technologies and assesses maturity and applicability.
3. Review the innovation governance process (sandbox/PoC governance).
4. Check formal evaluation and approval process exists for new technology initiatives.</t>
        </is>
      </c>
      <c r="G8" s="7" t="inlineStr">
        <is>
          <t>Technology radar; Innovation governance policy; PoC/sandbox evaluation records; Technology evaluation board minutes</t>
        </is>
      </c>
      <c r="H8" s="7" t="inlineStr">
        <is>
          <t>Inspection</t>
        </is>
      </c>
      <c r="I8" s="7" t="inlineStr"/>
      <c r="J8" s="7" t="inlineStr"/>
      <c r="K8" s="7" t="inlineStr"/>
      <c r="L8" s="7" t="inlineStr"/>
      <c r="M8" s="7" t="inlineStr"/>
      <c r="N8" s="7" t="inlineStr"/>
    </row>
    <row r="9">
      <c r="A9" s="12" t="inlineStr">
        <is>
          <t>BNM Appendix 9 Item 2 — Minimum Production Requirements</t>
        </is>
      </c>
      <c r="B9" s="13" t="n"/>
      <c r="C9" s="13" t="n"/>
      <c r="D9" s="13" t="n"/>
      <c r="E9" s="13" t="n"/>
      <c r="F9" s="13" t="n"/>
      <c r="G9" s="13" t="n"/>
      <c r="H9" s="13" t="n"/>
      <c r="I9" s="13" t="n"/>
      <c r="J9" s="13" t="n"/>
      <c r="K9" s="13" t="n"/>
      <c r="L9" s="13" t="n"/>
      <c r="M9" s="13" t="n"/>
      <c r="N9" s="13" t="n"/>
    </row>
    <row r="10">
      <c r="A10" s="14" t="inlineStr">
        <is>
          <t>BNM requires minimum standards before emerging technology is deployed to production. These include acceptance criteria, security assessment, testing, monitoring, and human oversight. This is a regulatory requirement with 5 sub-items.</t>
        </is>
      </c>
      <c r="B10" s="15" t="n"/>
      <c r="C10" s="15" t="n"/>
      <c r="D10" s="15" t="n"/>
      <c r="E10" s="15" t="n"/>
      <c r="F10" s="15" t="n"/>
      <c r="G10" s="15" t="n"/>
      <c r="H10" s="15" t="n"/>
      <c r="I10" s="15" t="n"/>
      <c r="J10" s="15" t="n"/>
      <c r="K10" s="15" t="n"/>
      <c r="L10" s="15" t="n"/>
      <c r="M10" s="15" t="n"/>
      <c r="N10" s="15" t="n"/>
    </row>
    <row r="11">
      <c r="A11" s="16" t="inlineStr">
        <is>
          <t>App9-2</t>
        </is>
      </c>
      <c r="B11" s="16" t="inlineStr">
        <is>
          <t>AI-02</t>
        </is>
      </c>
      <c r="C11" s="16" t="inlineStr">
        <is>
          <t>WORKLOAD</t>
        </is>
      </c>
      <c r="D11" s="16" t="inlineStr">
        <is>
          <t>Minimum Production Requirements</t>
        </is>
      </c>
      <c r="E11" s="16" t="inlineStr">
        <is>
          <t>Acceptance criteria, security, testing, monitoring, and human oversight for production deployment</t>
        </is>
      </c>
      <c r="F11" s="16" t="inlineStr"/>
      <c r="G11" s="16" t="inlineStr"/>
      <c r="H11" s="16" t="inlineStr"/>
      <c r="I11" s="16" t="inlineStr"/>
      <c r="J11" s="16" t="inlineStr"/>
      <c r="K11" s="16" t="inlineStr"/>
      <c r="L11" s="16" t="inlineStr"/>
      <c r="M11" s="17" t="inlineStr"/>
      <c r="N11" s="17" t="inlineStr"/>
    </row>
    <row r="12">
      <c r="A12" s="7" t="inlineStr">
        <is>
          <t>App9-2(a)</t>
        </is>
      </c>
      <c r="B12" s="7" t="inlineStr">
        <is>
          <t>AI-02.1</t>
        </is>
      </c>
      <c r="C12" s="7" t="inlineStr"/>
      <c r="D12" s="7" t="inlineStr"/>
      <c r="E12" s="7" t="inlineStr">
        <is>
          <t>Production acceptance criteria</t>
        </is>
      </c>
      <c r="F12" s="7" t="inlineStr">
        <is>
          <t>1. Obtain acceptance criteria framework.
2. Verify criteria cover: performance thresholds, validation results, security assessment, ethical review, operational readiness.
3. For each in-scope deployment, verify criteria met before production.
4. Check acceptance formally documented and signed off.</t>
        </is>
      </c>
      <c r="G12" s="7" t="inlineStr">
        <is>
          <t>Acceptance criteria framework; Completed acceptance checklists; Sign-off records</t>
        </is>
      </c>
      <c r="H12" s="7" t="inlineStr">
        <is>
          <t>Inspection</t>
        </is>
      </c>
      <c r="I12" s="7" t="inlineStr"/>
      <c r="J12" s="7" t="inlineStr"/>
      <c r="K12" s="7" t="inlineStr"/>
      <c r="L12" s="7" t="inlineStr"/>
      <c r="M12" s="7" t="inlineStr"/>
      <c r="N12" s="7" t="inlineStr"/>
    </row>
    <row r="13">
      <c r="A13" s="7" t="inlineStr">
        <is>
          <t>App9-2(b)</t>
        </is>
      </c>
      <c r="B13" s="7" t="inlineStr">
        <is>
          <t>AI-02.2</t>
        </is>
      </c>
      <c r="C13" s="7" t="inlineStr"/>
      <c r="D13" s="7" t="inlineStr"/>
      <c r="E13" s="7" t="inlineStr">
        <is>
          <t>Security assessment for production</t>
        </is>
      </c>
      <c r="F13" s="7" t="inlineStr">
        <is>
          <t>1. Verify security assessment conducted before production deployment.
2. Check assessment covers: access controls, data protection, model integrity, adversarial threats.
3. Confirm findings remediated before go-live.
4. Verify security testing includes AI-specific attack vectors.</t>
        </is>
      </c>
      <c r="G13" s="7" t="inlineStr">
        <is>
          <t>Security assessment report; Finding remediation evidence; AI-specific security test results</t>
        </is>
      </c>
      <c r="H13" s="7" t="inlineStr">
        <is>
          <t>Inspection</t>
        </is>
      </c>
      <c r="I13" s="7" t="inlineStr"/>
      <c r="J13" s="7" t="inlineStr"/>
      <c r="K13" s="7" t="inlineStr"/>
      <c r="L13" s="7" t="inlineStr"/>
      <c r="M13" s="7" t="inlineStr"/>
      <c r="N13" s="7" t="inlineStr"/>
    </row>
    <row r="14">
      <c r="A14" s="7" t="inlineStr">
        <is>
          <t>App9-2(c)</t>
        </is>
      </c>
      <c r="B14" s="7" t="inlineStr">
        <is>
          <t>AI-02.3</t>
        </is>
      </c>
      <c r="C14" s="7" t="inlineStr"/>
      <c r="D14" s="7" t="inlineStr"/>
      <c r="E14" s="7" t="inlineStr">
        <is>
          <t>Pre-production testing</t>
        </is>
      </c>
      <c r="F14" s="7" t="inlineStr">
        <is>
          <t>1. Review testing strategy.
2. Verify: unit, integration, performance, security, UAT, A/B or shadow testing.
3. Verify test execution records and results.
4. Confirm exit criteria met before release.</t>
        </is>
      </c>
      <c r="G14" s="7" t="inlineStr">
        <is>
          <t>Testing strategy; Test plans and records; Test results; Production release approval</t>
        </is>
      </c>
      <c r="H14" s="7" t="inlineStr">
        <is>
          <t>Inspection</t>
        </is>
      </c>
      <c r="I14" s="7" t="inlineStr"/>
      <c r="J14" s="7" t="inlineStr"/>
      <c r="K14" s="7" t="inlineStr"/>
      <c r="L14" s="7" t="inlineStr"/>
      <c r="M14" s="7" t="inlineStr"/>
      <c r="N14" s="7" t="inlineStr"/>
    </row>
    <row r="15">
      <c r="A15" s="7" t="inlineStr">
        <is>
          <t>App9-2(d)</t>
        </is>
      </c>
      <c r="B15" s="7" t="inlineStr">
        <is>
          <t>AI-02.4</t>
        </is>
      </c>
      <c r="C15" s="7" t="inlineStr"/>
      <c r="D15" s="7" t="inlineStr"/>
      <c r="E15" s="7" t="inlineStr">
        <is>
          <t>Production monitoring</t>
        </is>
      </c>
      <c r="F15" s="7" t="inlineStr">
        <is>
          <t>1. Identify all models in production.
2. Verify each has defined performance metrics.
3. Check performance monitored continuously or at defined intervals.
4. Verify degradation triggers alerts and investigation.</t>
        </is>
      </c>
      <c r="G15" s="7" t="inlineStr">
        <is>
          <t>Production model inventory; Performance metrics per model; Monitoring config; Alert config</t>
        </is>
      </c>
      <c r="H15" s="7" t="inlineStr">
        <is>
          <t>Inspection</t>
        </is>
      </c>
      <c r="I15" s="7" t="inlineStr"/>
      <c r="J15" s="7" t="inlineStr"/>
      <c r="K15" s="7" t="inlineStr"/>
      <c r="L15" s="7" t="inlineStr"/>
      <c r="M15" s="7" t="inlineStr"/>
      <c r="N15" s="7" t="inlineStr"/>
    </row>
    <row r="16">
      <c r="A16" s="7" t="inlineStr">
        <is>
          <t>App9-2(e)</t>
        </is>
      </c>
      <c r="B16" s="7" t="inlineStr">
        <is>
          <t>AI-02.5</t>
        </is>
      </c>
      <c r="C16" s="7" t="inlineStr"/>
      <c r="D16" s="7" t="inlineStr"/>
      <c r="E16" s="7" t="inlineStr">
        <is>
          <t>Human oversight and kill-switch</t>
        </is>
      </c>
      <c r="F16" s="7" t="inlineStr">
        <is>
          <t>1. Verify human oversight levels defined and proportionate to risk.
2. Check each production AI system has kill-switch capability.
3. Verify activation within defined timeframes.
4. Confirm fallback/manual processes exist.
5. Verify decision authority defined.</t>
        </is>
      </c>
      <c r="G16" s="7" t="inlineStr">
        <is>
          <t>Human oversight framework; Kill-switch documentation; Suspension test results; Fallback process docs</t>
        </is>
      </c>
      <c r="H16" s="7" t="inlineStr">
        <is>
          <t>Inspection</t>
        </is>
      </c>
      <c r="I16" s="7" t="inlineStr"/>
      <c r="J16" s="7" t="inlineStr"/>
      <c r="K16" s="7" t="inlineStr"/>
      <c r="L16" s="7" t="inlineStr"/>
      <c r="M16" s="7" t="inlineStr"/>
      <c r="N16" s="7" t="inlineStr"/>
    </row>
    <row r="17">
      <c r="A17" s="12" t="inlineStr">
        <is>
          <t>Best Practice — Model Governance</t>
        </is>
      </c>
      <c r="B17" s="13" t="n"/>
      <c r="C17" s="13" t="n"/>
      <c r="D17" s="13" t="n"/>
      <c r="E17" s="13" t="n"/>
      <c r="F17" s="13" t="n"/>
      <c r="G17" s="13" t="n"/>
      <c r="H17" s="13" t="n"/>
      <c r="I17" s="13" t="n"/>
      <c r="J17" s="13" t="n"/>
      <c r="K17" s="13" t="n"/>
      <c r="L17" s="13" t="n"/>
      <c r="M17" s="13" t="n"/>
      <c r="N17" s="13" t="n"/>
    </row>
    <row r="18">
      <c r="A18" s="14" t="inlineStr">
        <is>
          <t>Best practice domain beyond BNM requirements. Covers model validation, lifecycle management, and model risk management. Industry frameworks (SR 11-7, SS2/21) inform these controls.</t>
        </is>
      </c>
      <c r="B18" s="15" t="n"/>
      <c r="C18" s="15" t="n"/>
      <c r="D18" s="15" t="n"/>
      <c r="E18" s="15" t="n"/>
      <c r="F18" s="15" t="n"/>
      <c r="G18" s="15" t="n"/>
      <c r="H18" s="15" t="n"/>
      <c r="I18" s="15" t="n"/>
      <c r="J18" s="15" t="n"/>
      <c r="K18" s="15" t="n"/>
      <c r="L18" s="15" t="n"/>
      <c r="M18" s="15" t="n"/>
      <c r="N18" s="15" t="n"/>
    </row>
    <row r="19">
      <c r="A19" s="16" t="inlineStr"/>
      <c r="B19" s="16" t="inlineStr">
        <is>
          <t>AI-03</t>
        </is>
      </c>
      <c r="C19" s="16" t="inlineStr">
        <is>
          <t>ORG</t>
        </is>
      </c>
      <c r="D19" s="16" t="inlineStr">
        <is>
          <t>Model Governance (Best Practice)</t>
        </is>
      </c>
      <c r="E19" s="16" t="inlineStr">
        <is>
          <t>Model validation, lifecycle management, and model risk management</t>
        </is>
      </c>
      <c r="F19" s="16" t="inlineStr"/>
      <c r="G19" s="16" t="inlineStr"/>
      <c r="H19" s="16" t="inlineStr"/>
      <c r="I19" s="16" t="inlineStr"/>
      <c r="J19" s="16" t="inlineStr"/>
      <c r="K19" s="16" t="inlineStr"/>
      <c r="L19" s="16" t="inlineStr"/>
      <c r="M19" s="17" t="inlineStr"/>
      <c r="N19" s="17" t="inlineStr"/>
    </row>
    <row r="20">
      <c r="A20" s="7" t="inlineStr"/>
      <c r="B20" s="7" t="inlineStr">
        <is>
          <t>AI-03.1</t>
        </is>
      </c>
      <c r="C20" s="7" t="inlineStr"/>
      <c r="D20" s="7" t="inlineStr"/>
      <c r="E20" s="7" t="inlineStr">
        <is>
          <t>Model inventory and classification</t>
        </is>
      </c>
      <c r="F20" s="7" t="inlineStr">
        <is>
          <t>1. Obtain model inventory.
2. Verify models classified by risk tier (Tier 1/2/3).
3. Check model owners assigned.
4. Verify inventory includes model purpose, inputs, outputs, dependencies.</t>
        </is>
      </c>
      <c r="G20" s="7" t="inlineStr">
        <is>
          <t>Model inventory; Risk tier classification; Model ownership register</t>
        </is>
      </c>
      <c r="H20" s="7" t="inlineStr">
        <is>
          <t>Inspection</t>
        </is>
      </c>
      <c r="I20" s="7" t="inlineStr"/>
      <c r="J20" s="7" t="inlineStr"/>
      <c r="K20" s="7" t="inlineStr"/>
      <c r="L20" s="7" t="inlineStr"/>
      <c r="M20" s="7" t="inlineStr"/>
      <c r="N20" s="7" t="inlineStr"/>
    </row>
    <row r="21">
      <c r="A21" s="7" t="inlineStr"/>
      <c r="B21" s="7" t="inlineStr">
        <is>
          <t>AI-03.2</t>
        </is>
      </c>
      <c r="C21" s="7" t="inlineStr"/>
      <c r="D21" s="7" t="inlineStr"/>
      <c r="E21" s="7" t="inlineStr">
        <is>
          <t>Independent model validation</t>
        </is>
      </c>
      <c r="F21" s="7" t="inlineStr">
        <is>
          <t>1. Check validation performed independently of development.
2. Review methodology: conceptual soundness, data adequacy, benchmarking, sensitivity.
3. Verify validation before deployment and periodically.
4. Check findings tracked and remediated.</t>
        </is>
      </c>
      <c r="G21" s="7" t="inlineStr">
        <is>
          <t>Model validation policy; Independence evidence; Validation reports; Finding tracker</t>
        </is>
      </c>
      <c r="H21" s="7" t="inlineStr">
        <is>
          <t>Inspection</t>
        </is>
      </c>
      <c r="I21" s="7" t="inlineStr"/>
      <c r="J21" s="7" t="inlineStr"/>
      <c r="K21" s="7" t="inlineStr"/>
      <c r="L21" s="7" t="inlineStr"/>
      <c r="M21" s="7" t="inlineStr"/>
      <c r="N21" s="7" t="inlineStr"/>
    </row>
    <row r="22">
      <c r="A22" s="7" t="inlineStr"/>
      <c r="B22" s="7" t="inlineStr">
        <is>
          <t>AI-03.3</t>
        </is>
      </c>
      <c r="C22" s="7" t="inlineStr"/>
      <c r="D22" s="7" t="inlineStr"/>
      <c r="E22" s="7" t="inlineStr">
        <is>
          <t>Model retraining and recalibration</t>
        </is>
      </c>
      <c r="F22" s="7" t="inlineStr">
        <is>
          <t>1. Verify retraining/recalibration procedures exist.
2. Check triggers for retraining defined (performance drift, data change).
3. Confirm retraining follows change management.
4. Verify retrained models re-validated.</t>
        </is>
      </c>
      <c r="G22" s="7" t="inlineStr">
        <is>
          <t>Retraining procedures; Trigger definitions; Change records; Re-validation evidence</t>
        </is>
      </c>
      <c r="H22" s="7" t="inlineStr">
        <is>
          <t>Inspection</t>
        </is>
      </c>
      <c r="I22" s="7" t="inlineStr"/>
      <c r="J22" s="7" t="inlineStr"/>
      <c r="K22" s="7" t="inlineStr"/>
      <c r="L22" s="7" t="inlineStr"/>
      <c r="M22" s="7" t="inlineStr"/>
      <c r="N22" s="7" t="inlineStr"/>
    </row>
    <row r="23">
      <c r="A23" s="12" t="inlineStr">
        <is>
          <t>Best Practice — Data Governance</t>
        </is>
      </c>
      <c r="B23" s="13" t="n"/>
      <c r="C23" s="13" t="n"/>
      <c r="D23" s="13" t="n"/>
      <c r="E23" s="13" t="n"/>
      <c r="F23" s="13" t="n"/>
      <c r="G23" s="13" t="n"/>
      <c r="H23" s="13" t="n"/>
      <c r="I23" s="13" t="n"/>
      <c r="J23" s="13" t="n"/>
      <c r="K23" s="13" t="n"/>
      <c r="L23" s="13" t="n"/>
      <c r="M23" s="13" t="n"/>
      <c r="N23" s="13" t="n"/>
    </row>
    <row r="24">
      <c r="A24" s="14" t="inlineStr">
        <is>
          <t>Best practice domain beyond BNM requirements. Covers data quality, lineage, privacy, and representativeness for AI/ML training and inference data.</t>
        </is>
      </c>
      <c r="B24" s="15" t="n"/>
      <c r="C24" s="15" t="n"/>
      <c r="D24" s="15" t="n"/>
      <c r="E24" s="15" t="n"/>
      <c r="F24" s="15" t="n"/>
      <c r="G24" s="15" t="n"/>
      <c r="H24" s="15" t="n"/>
      <c r="I24" s="15" t="n"/>
      <c r="J24" s="15" t="n"/>
      <c r="K24" s="15" t="n"/>
      <c r="L24" s="15" t="n"/>
      <c r="M24" s="15" t="n"/>
      <c r="N24" s="15" t="n"/>
    </row>
    <row r="25">
      <c r="A25" s="16" t="inlineStr"/>
      <c r="B25" s="16" t="inlineStr">
        <is>
          <t>AI-04</t>
        </is>
      </c>
      <c r="C25" s="16" t="inlineStr">
        <is>
          <t>WORKLOAD</t>
        </is>
      </c>
      <c r="D25" s="16" t="inlineStr">
        <is>
          <t>Data Governance (Best Practice)</t>
        </is>
      </c>
      <c r="E25" s="16" t="inlineStr">
        <is>
          <t>Data quality, lineage, privacy, and representativeness for AI/ML</t>
        </is>
      </c>
      <c r="F25" s="16" t="inlineStr"/>
      <c r="G25" s="16" t="inlineStr"/>
      <c r="H25" s="16" t="inlineStr"/>
      <c r="I25" s="16" t="inlineStr"/>
      <c r="J25" s="16" t="inlineStr"/>
      <c r="K25" s="16" t="inlineStr"/>
      <c r="L25" s="16" t="inlineStr"/>
      <c r="M25" s="17" t="inlineStr"/>
      <c r="N25" s="17" t="inlineStr"/>
    </row>
    <row r="26">
      <c r="A26" s="7" t="inlineStr"/>
      <c r="B26" s="7" t="inlineStr">
        <is>
          <t>AI-04.1</t>
        </is>
      </c>
      <c r="C26" s="7" t="inlineStr"/>
      <c r="D26" s="7" t="inlineStr"/>
      <c r="E26" s="7" t="inlineStr">
        <is>
          <t>Data quality controls</t>
        </is>
      </c>
      <c r="F26" s="7" t="inlineStr">
        <is>
          <t>1. Review data governance framework for AI training/inference data.
2. Verify data quality controls: completeness, accuracy, timeliness, consistency.
3. Check data quality metrics defined and monitored.
4. Verify data quality issues trigger remediation.</t>
        </is>
      </c>
      <c r="G26" s="7" t="inlineStr">
        <is>
          <t>Data governance framework; Data quality procedures and metrics; Data quality monitoring</t>
        </is>
      </c>
      <c r="H26" s="7" t="inlineStr">
        <is>
          <t>Inspection</t>
        </is>
      </c>
      <c r="I26" s="7" t="inlineStr"/>
      <c r="J26" s="7" t="inlineStr"/>
      <c r="K26" s="7" t="inlineStr"/>
      <c r="L26" s="7" t="inlineStr"/>
      <c r="M26" s="7" t="inlineStr"/>
      <c r="N26" s="7" t="inlineStr"/>
    </row>
    <row r="27">
      <c r="A27" s="7" t="inlineStr"/>
      <c r="B27" s="7" t="inlineStr">
        <is>
          <t>AI-04.2</t>
        </is>
      </c>
      <c r="C27" s="7" t="inlineStr"/>
      <c r="D27" s="7" t="inlineStr"/>
      <c r="E27" s="7" t="inlineStr">
        <is>
          <t>Data lineage and provenance</t>
        </is>
      </c>
      <c r="F27" s="7" t="inlineStr">
        <is>
          <t>1. Verify data lineage tracked from source to model input.
2. Check data provenance documented.
3. Confirm data transformations auditable.
4. Verify lineage maintained through model updates.</t>
        </is>
      </c>
      <c r="G27" s="7" t="inlineStr">
        <is>
          <t>Data lineage documentation; Provenance records; Transformation audit trail</t>
        </is>
      </c>
      <c r="H27" s="7" t="inlineStr">
        <is>
          <t>Inspection</t>
        </is>
      </c>
      <c r="I27" s="7" t="inlineStr"/>
      <c r="J27" s="7" t="inlineStr"/>
      <c r="K27" s="7" t="inlineStr"/>
      <c r="L27" s="7" t="inlineStr"/>
      <c r="M27" s="7" t="inlineStr"/>
      <c r="N27" s="7" t="inlineStr"/>
    </row>
    <row r="28">
      <c r="A28" s="7" t="inlineStr"/>
      <c r="B28" s="7" t="inlineStr">
        <is>
          <t>AI-04.3</t>
        </is>
      </c>
      <c r="C28" s="7" t="inlineStr"/>
      <c r="D28" s="7" t="inlineStr"/>
      <c r="E28" s="7" t="inlineStr">
        <is>
          <t>Privacy and consent</t>
        </is>
      </c>
      <c r="F28" s="7" t="inlineStr">
        <is>
          <t>1. Verify privacy requirements met (anonymisation, consent, purpose limitation).
2. Check PDPA compliance for training data.
3. Confirm data retention and deletion procedures.
4. Verify re-identification risk assessed.</t>
        </is>
      </c>
      <c r="G28" s="7" t="inlineStr">
        <is>
          <t>Privacy compliance evidence; PDPA assessment; Retention/deletion procedures; Re-identification risk assessment</t>
        </is>
      </c>
      <c r="H28" s="7" t="inlineStr">
        <is>
          <t>Inspection</t>
        </is>
      </c>
      <c r="I28" s="7" t="inlineStr"/>
      <c r="J28" s="7" t="inlineStr"/>
      <c r="K28" s="7" t="inlineStr"/>
      <c r="L28" s="7" t="inlineStr"/>
      <c r="M28" s="7" t="inlineStr"/>
      <c r="N28" s="7" t="inlineStr"/>
    </row>
    <row r="29">
      <c r="A29" s="12" t="inlineStr">
        <is>
          <t>Best Practice — Bias and Fairness</t>
        </is>
      </c>
      <c r="B29" s="13" t="n"/>
      <c r="C29" s="13" t="n"/>
      <c r="D29" s="13" t="n"/>
      <c r="E29" s="13" t="n"/>
      <c r="F29" s="13" t="n"/>
      <c r="G29" s="13" t="n"/>
      <c r="H29" s="13" t="n"/>
      <c r="I29" s="13" t="n"/>
      <c r="J29" s="13" t="n"/>
      <c r="K29" s="13" t="n"/>
      <c r="L29" s="13" t="n"/>
      <c r="M29" s="13" t="n"/>
      <c r="N29" s="13" t="n"/>
    </row>
    <row r="30">
      <c r="A30" s="14" t="inlineStr">
        <is>
          <t>Best practice domain beyond BNM requirements. Covers bias testing, disparate impact analysis, and ongoing fairness monitoring for AI models.</t>
        </is>
      </c>
      <c r="B30" s="15" t="n"/>
      <c r="C30" s="15" t="n"/>
      <c r="D30" s="15" t="n"/>
      <c r="E30" s="15" t="n"/>
      <c r="F30" s="15" t="n"/>
      <c r="G30" s="15" t="n"/>
      <c r="H30" s="15" t="n"/>
      <c r="I30" s="15" t="n"/>
      <c r="J30" s="15" t="n"/>
      <c r="K30" s="15" t="n"/>
      <c r="L30" s="15" t="n"/>
      <c r="M30" s="15" t="n"/>
      <c r="N30" s="15" t="n"/>
    </row>
    <row r="31">
      <c r="A31" s="16" t="inlineStr"/>
      <c r="B31" s="16" t="inlineStr">
        <is>
          <t>AI-05</t>
        </is>
      </c>
      <c r="C31" s="16" t="inlineStr">
        <is>
          <t>WORKLOAD</t>
        </is>
      </c>
      <c r="D31" s="16" t="inlineStr">
        <is>
          <t>Bias and Fairness (Best Practice)</t>
        </is>
      </c>
      <c r="E31" s="16" t="inlineStr">
        <is>
          <t>Bias testing, fairness metrics, and ongoing monitoring for disparate impact</t>
        </is>
      </c>
      <c r="F31" s="16" t="inlineStr"/>
      <c r="G31" s="16" t="inlineStr"/>
      <c r="H31" s="16" t="inlineStr"/>
      <c r="I31" s="16" t="inlineStr"/>
      <c r="J31" s="16" t="inlineStr"/>
      <c r="K31" s="16" t="inlineStr"/>
      <c r="L31" s="16" t="inlineStr"/>
      <c r="M31" s="17" t="inlineStr"/>
      <c r="N31" s="17" t="inlineStr"/>
    </row>
    <row r="32">
      <c r="A32" s="7" t="inlineStr"/>
      <c r="B32" s="7" t="inlineStr">
        <is>
          <t>AI-05.1</t>
        </is>
      </c>
      <c r="C32" s="7" t="inlineStr"/>
      <c r="D32" s="7" t="inlineStr"/>
      <c r="E32" s="7" t="inlineStr">
        <is>
          <t>Bias testing methodology</t>
        </is>
      </c>
      <c r="F32" s="7" t="inlineStr">
        <is>
          <t>1. Identify AI models making/supporting customer decisions.
2. Verify bias testing methodology defined.
3. Check protected attributes assessed for disparate impact.
4. Verify bias testing performed before deployment.</t>
        </is>
      </c>
      <c r="G32" s="7" t="inlineStr">
        <is>
          <t>Bias testing methodology; Protected attribute list; Pre-deployment bias test results</t>
        </is>
      </c>
      <c r="H32" s="7" t="inlineStr">
        <is>
          <t>Inspection</t>
        </is>
      </c>
      <c r="I32" s="7" t="inlineStr"/>
      <c r="J32" s="7" t="inlineStr"/>
      <c r="K32" s="7" t="inlineStr"/>
      <c r="L32" s="7" t="inlineStr"/>
      <c r="M32" s="7" t="inlineStr"/>
      <c r="N32" s="7" t="inlineStr"/>
    </row>
    <row r="33">
      <c r="A33" s="7" t="inlineStr"/>
      <c r="B33" s="7" t="inlineStr">
        <is>
          <t>AI-05.2</t>
        </is>
      </c>
      <c r="C33" s="7" t="inlineStr"/>
      <c r="D33" s="7" t="inlineStr"/>
      <c r="E33" s="7" t="inlineStr">
        <is>
          <t>Ongoing fairness monitoring</t>
        </is>
      </c>
      <c r="F33" s="7" t="inlineStr">
        <is>
          <t>1. Verify ongoing monitoring for bias drift.
2. Check fairness metrics defined and tracked.
3. Confirm bias drift triggers investigation and remediation.
4. Verify monitoring covers all customer-facing models.</t>
        </is>
      </c>
      <c r="G33" s="7" t="inlineStr">
        <is>
          <t>Fairness monitoring config; Fairness metrics; Drift detection; Remediation records</t>
        </is>
      </c>
      <c r="H33" s="7" t="inlineStr">
        <is>
          <t>Inspection</t>
        </is>
      </c>
      <c r="I33" s="7" t="inlineStr"/>
      <c r="J33" s="7" t="inlineStr"/>
      <c r="K33" s="7" t="inlineStr"/>
      <c r="L33" s="7" t="inlineStr"/>
      <c r="M33" s="7" t="inlineStr"/>
      <c r="N33" s="7" t="inlineStr"/>
    </row>
    <row r="34">
      <c r="A34" s="12" t="inlineStr">
        <is>
          <t>Best Practice — Explainability and Transparency</t>
        </is>
      </c>
      <c r="B34" s="13" t="n"/>
      <c r="C34" s="13" t="n"/>
      <c r="D34" s="13" t="n"/>
      <c r="E34" s="13" t="n"/>
      <c r="F34" s="13" t="n"/>
      <c r="G34" s="13" t="n"/>
      <c r="H34" s="13" t="n"/>
      <c r="I34" s="13" t="n"/>
      <c r="J34" s="13" t="n"/>
      <c r="K34" s="13" t="n"/>
      <c r="L34" s="13" t="n"/>
      <c r="M34" s="13" t="n"/>
      <c r="N34" s="13" t="n"/>
    </row>
    <row r="35">
      <c r="A35" s="14" t="inlineStr">
        <is>
          <t>Best practice domain beyond BNM requirements. Covers model explainability, customer disclosure, and decision transparency.</t>
        </is>
      </c>
      <c r="B35" s="15" t="n"/>
      <c r="C35" s="15" t="n"/>
      <c r="D35" s="15" t="n"/>
      <c r="E35" s="15" t="n"/>
      <c r="F35" s="15" t="n"/>
      <c r="G35" s="15" t="n"/>
      <c r="H35" s="15" t="n"/>
      <c r="I35" s="15" t="n"/>
      <c r="J35" s="15" t="n"/>
      <c r="K35" s="15" t="n"/>
      <c r="L35" s="15" t="n"/>
      <c r="M35" s="15" t="n"/>
      <c r="N35" s="15" t="n"/>
    </row>
    <row r="36">
      <c r="A36" s="16" t="inlineStr"/>
      <c r="B36" s="16" t="inlineStr">
        <is>
          <t>AI-06</t>
        </is>
      </c>
      <c r="C36" s="16" t="inlineStr">
        <is>
          <t>WORKLOAD</t>
        </is>
      </c>
      <c r="D36" s="16" t="inlineStr">
        <is>
          <t>Explainability and Transparency (Best Practice)</t>
        </is>
      </c>
      <c r="E36" s="16" t="inlineStr">
        <is>
          <t>Model explainability, customer disclosure, and decision interpretability</t>
        </is>
      </c>
      <c r="F36" s="16" t="inlineStr"/>
      <c r="G36" s="16" t="inlineStr"/>
      <c r="H36" s="16" t="inlineStr"/>
      <c r="I36" s="16" t="inlineStr"/>
      <c r="J36" s="16" t="inlineStr"/>
      <c r="K36" s="16" t="inlineStr"/>
      <c r="L36" s="16" t="inlineStr"/>
      <c r="M36" s="17" t="inlineStr"/>
      <c r="N36" s="17" t="inlineStr"/>
    </row>
    <row r="37">
      <c r="A37" s="7" t="inlineStr"/>
      <c r="B37" s="7" t="inlineStr">
        <is>
          <t>AI-06.1</t>
        </is>
      </c>
      <c r="C37" s="7" t="inlineStr"/>
      <c r="D37" s="7" t="inlineStr"/>
      <c r="E37" s="7" t="inlineStr">
        <is>
          <t>Model explainability</t>
        </is>
      </c>
      <c r="F37" s="7" t="inlineStr">
        <is>
          <t>1. Verify explainability methods implemented (SHAP, LIME, feature importance).
2. Check explanations can be provided for individual decisions.
3. Confirm explainability proportionate to risk and customer impact.
4. Verify explainability tested.</t>
        </is>
      </c>
      <c r="G37" s="7" t="inlineStr">
        <is>
          <t>Explainability methods; Individual decision explanations; Explainability test results</t>
        </is>
      </c>
      <c r="H37" s="7" t="inlineStr">
        <is>
          <t>Inspection</t>
        </is>
      </c>
      <c r="I37" s="7" t="inlineStr"/>
      <c r="J37" s="7" t="inlineStr"/>
      <c r="K37" s="7" t="inlineStr"/>
      <c r="L37" s="7" t="inlineStr"/>
      <c r="M37" s="7" t="inlineStr"/>
      <c r="N37" s="7" t="inlineStr"/>
    </row>
    <row r="38">
      <c r="A38" s="7" t="inlineStr"/>
      <c r="B38" s="7" t="inlineStr">
        <is>
          <t>AI-06.2</t>
        </is>
      </c>
      <c r="C38" s="7" t="inlineStr"/>
      <c r="D38" s="7" t="inlineStr"/>
      <c r="E38" s="7" t="inlineStr">
        <is>
          <t>Customer disclosure</t>
        </is>
      </c>
      <c r="F38" s="7" t="inlineStr">
        <is>
          <t>1. Identify AI systems interacting with customers.
2. Verify customers informed of AI use in decision-making.
3. Check complaints/appeals process exists.
4. Review sample disclosures.</t>
        </is>
      </c>
      <c r="G38" s="7" t="inlineStr">
        <is>
          <t>Disclosure policy; Customer notification evidence; Complaints process; Sample disclosures</t>
        </is>
      </c>
      <c r="H38" s="7" t="inlineStr">
        <is>
          <t>Inspection</t>
        </is>
      </c>
      <c r="I38" s="7" t="inlineStr"/>
      <c r="J38" s="7" t="inlineStr"/>
      <c r="K38" s="7" t="inlineStr"/>
      <c r="L38" s="7" t="inlineStr"/>
      <c r="M38" s="7" t="inlineStr"/>
      <c r="N38" s="7" t="inlineStr"/>
    </row>
    <row r="39">
      <c r="A39" s="12" t="inlineStr">
        <is>
          <t>Best Practice — Human Oversight</t>
        </is>
      </c>
      <c r="B39" s="13" t="n"/>
      <c r="C39" s="13" t="n"/>
      <c r="D39" s="13" t="n"/>
      <c r="E39" s="13" t="n"/>
      <c r="F39" s="13" t="n"/>
      <c r="G39" s="13" t="n"/>
      <c r="H39" s="13" t="n"/>
      <c r="I39" s="13" t="n"/>
      <c r="J39" s="13" t="n"/>
      <c r="K39" s="13" t="n"/>
      <c r="L39" s="13" t="n"/>
      <c r="M39" s="13" t="n"/>
      <c r="N39" s="13" t="n"/>
    </row>
    <row r="40">
      <c r="A40" s="14" t="inlineStr">
        <is>
          <t>Best practice domain beyond BNM requirements. Covers human-in-the-loop controls, escalation, and override capabilities.</t>
        </is>
      </c>
      <c r="B40" s="15" t="n"/>
      <c r="C40" s="15" t="n"/>
      <c r="D40" s="15" t="n"/>
      <c r="E40" s="15" t="n"/>
      <c r="F40" s="15" t="n"/>
      <c r="G40" s="15" t="n"/>
      <c r="H40" s="15" t="n"/>
      <c r="I40" s="15" t="n"/>
      <c r="J40" s="15" t="n"/>
      <c r="K40" s="15" t="n"/>
      <c r="L40" s="15" t="n"/>
      <c r="M40" s="15" t="n"/>
      <c r="N40" s="15" t="n"/>
    </row>
    <row r="41">
      <c r="A41" s="16" t="inlineStr"/>
      <c r="B41" s="16" t="inlineStr">
        <is>
          <t>AI-07</t>
        </is>
      </c>
      <c r="C41" s="16" t="inlineStr">
        <is>
          <t>WORKLOAD</t>
        </is>
      </c>
      <c r="D41" s="16" t="inlineStr">
        <is>
          <t>Human Oversight (Best Practice)</t>
        </is>
      </c>
      <c r="E41" s="16" t="inlineStr">
        <is>
          <t>Human-in-the-loop controls, override capability, and escalation</t>
        </is>
      </c>
      <c r="F41" s="16" t="inlineStr"/>
      <c r="G41" s="16" t="inlineStr"/>
      <c r="H41" s="16" t="inlineStr"/>
      <c r="I41" s="16" t="inlineStr"/>
      <c r="J41" s="16" t="inlineStr"/>
      <c r="K41" s="16" t="inlineStr"/>
      <c r="L41" s="16" t="inlineStr"/>
      <c r="M41" s="17" t="inlineStr"/>
      <c r="N41" s="17" t="inlineStr"/>
    </row>
    <row r="42">
      <c r="A42" s="7" t="inlineStr"/>
      <c r="B42" s="7" t="inlineStr">
        <is>
          <t>AI-07.1</t>
        </is>
      </c>
      <c r="C42" s="7" t="inlineStr"/>
      <c r="D42" s="7" t="inlineStr"/>
      <c r="E42" s="7" t="inlineStr">
        <is>
          <t>Human-in-the-loop design</t>
        </is>
      </c>
      <c r="F42" s="7" t="inlineStr">
        <is>
          <t>1. Verify human oversight levels defined per model risk tier.
2. Check automated decisions can be overridden by humans.
3. Verify escalation procedures for anomalous model behaviour.
4. Confirm override decisions logged and auditable.</t>
        </is>
      </c>
      <c r="G42" s="7" t="inlineStr">
        <is>
          <t>Human oversight framework; Override capability; Escalation procedures; Override audit trail</t>
        </is>
      </c>
      <c r="H42" s="7" t="inlineStr">
        <is>
          <t>Inspection</t>
        </is>
      </c>
      <c r="I42" s="7" t="inlineStr"/>
      <c r="J42" s="7" t="inlineStr"/>
      <c r="K42" s="7" t="inlineStr"/>
      <c r="L42" s="7" t="inlineStr"/>
      <c r="M42" s="7" t="inlineStr"/>
      <c r="N42" s="7" t="inlineStr"/>
    </row>
    <row r="43">
      <c r="A43" s="7" t="inlineStr"/>
      <c r="B43" s="7" t="inlineStr">
        <is>
          <t>AI-07.2</t>
        </is>
      </c>
      <c r="C43" s="7" t="inlineStr"/>
      <c r="D43" s="7" t="inlineStr"/>
      <c r="E43" s="7" t="inlineStr">
        <is>
          <t>AI incident management</t>
        </is>
      </c>
      <c r="F43" s="7" t="inlineStr">
        <is>
          <t>1. Review IR procedure for AI incidents (model failure, biased outcomes, data poisoning, adversarial attacks).
2. Verify AI incident categories and severity levels defined.
3. Check incident log for past 12 months.
4. Verify lessons learned fed back into governance.</t>
        </is>
      </c>
      <c r="G43" s="7" t="inlineStr">
        <is>
          <t>AI incident management procedure; AI incident categories; AI incident log; Lessons learned register</t>
        </is>
      </c>
      <c r="H43" s="7" t="inlineStr">
        <is>
          <t>Inspection</t>
        </is>
      </c>
      <c r="I43" s="7" t="inlineStr"/>
      <c r="J43" s="7" t="inlineStr"/>
      <c r="K43" s="7" t="inlineStr"/>
      <c r="L43" s="7" t="inlineStr"/>
      <c r="M43" s="7" t="inlineStr"/>
      <c r="N43" s="7" t="inlineStr"/>
    </row>
    <row r="44">
      <c r="A44" s="7" t="inlineStr"/>
      <c r="B44" s="7" t="inlineStr">
        <is>
          <t>AI-07.3</t>
        </is>
      </c>
      <c r="C44" s="7" t="inlineStr"/>
      <c r="D44" s="7" t="inlineStr"/>
      <c r="E44" s="7" t="inlineStr">
        <is>
          <t>Outcome monitoring for unintended consequences</t>
        </is>
      </c>
      <c r="F44" s="7" t="inlineStr">
        <is>
          <t>1. Verify outcome tracking implemented for AI decisions.
2. Check monitoring for unintended consequences.
3. Confirm anomalous outcomes trigger investigation.
4. Verify feedback loop to model improvement.</t>
        </is>
      </c>
      <c r="G44" s="7" t="inlineStr">
        <is>
          <t>Outcome monitoring config; Unintended consequence tracking; Investigation records; Feedback loop evidence</t>
        </is>
      </c>
      <c r="H44" s="7" t="inlineStr">
        <is>
          <t>Inspection</t>
        </is>
      </c>
      <c r="I44" s="7" t="inlineStr"/>
      <c r="J44" s="7" t="inlineStr"/>
      <c r="K44" s="7" t="inlineStr"/>
      <c r="L44" s="7" t="inlineStr"/>
      <c r="M44" s="7" t="inlineStr"/>
      <c r="N44" s="7" t="inlineStr"/>
    </row>
  </sheetData>
  <mergeCells count="14">
    <mergeCell ref="A17:N17"/>
    <mergeCell ref="A9:N9"/>
    <mergeCell ref="A18:N18"/>
    <mergeCell ref="A40:N40"/>
    <mergeCell ref="A3:N3"/>
    <mergeCell ref="A39:N39"/>
    <mergeCell ref="A34:N34"/>
    <mergeCell ref="A35:N35"/>
    <mergeCell ref="A24:N24"/>
    <mergeCell ref="A2:N2"/>
    <mergeCell ref="A30:N30"/>
    <mergeCell ref="A29:N29"/>
    <mergeCell ref="A10:N10"/>
    <mergeCell ref="A23:N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78"/>
  <sheetViews>
    <sheetView workbookViewId="0">
      <selection activeCell="A1" sqref="A1"/>
    </sheetView>
  </sheetViews>
  <sheetFormatPr baseColWidth="8" defaultRowHeight="15"/>
  <cols>
    <col width="14" customWidth="1" min="1" max="1"/>
    <col width="10" customWidth="1" min="2" max="2"/>
    <col width="11" customWidth="1" min="3" max="3"/>
    <col width="22" customWidth="1" min="4" max="4"/>
    <col width="28" customWidth="1" min="5" max="5"/>
    <col width="50" customWidth="1" min="6" max="6"/>
    <col width="35" customWidth="1" min="7" max="7"/>
    <col width="14" customWidth="1" min="8" max="8"/>
    <col width="30" customWidth="1" min="9" max="9"/>
    <col width="25" customWidth="1" min="10" max="10"/>
    <col width="12" customWidth="1" min="11" max="11"/>
    <col width="30" customWidth="1" min="12" max="12"/>
    <col width="16" customWidth="1" min="13" max="13"/>
    <col width="30" customWidth="1" min="14" max="14"/>
  </cols>
  <sheetData>
    <row r="1">
      <c r="A1" s="11" t="inlineStr">
        <is>
          <t>BNM Ref</t>
        </is>
      </c>
      <c r="B1" s="11" t="inlineStr">
        <is>
          <t>Ref</t>
        </is>
      </c>
      <c r="C1" s="11" t="inlineStr">
        <is>
          <t>Level</t>
        </is>
      </c>
      <c r="D1" s="11" t="inlineStr">
        <is>
          <t>Control Domain</t>
        </is>
      </c>
      <c r="E1" s="11" t="inlineStr">
        <is>
          <t>Sub-Procedure</t>
        </is>
      </c>
      <c r="F1" s="11" t="inlineStr">
        <is>
          <t>Assessment Procedures</t>
        </is>
      </c>
      <c r="G1" s="11" t="inlineStr">
        <is>
          <t>Expected Evidence</t>
        </is>
      </c>
      <c r="H1" s="11" t="inlineStr">
        <is>
          <t>Method</t>
        </is>
      </c>
      <c r="I1" s="11" t="inlineStr">
        <is>
          <t>Procedures Performed</t>
        </is>
      </c>
      <c r="J1" s="11" t="inlineStr">
        <is>
          <t>Evidence Obtained</t>
        </is>
      </c>
      <c r="K1" s="11" t="inlineStr">
        <is>
          <t>Evidence Ref</t>
        </is>
      </c>
      <c r="L1" s="11" t="inlineStr">
        <is>
          <t>Observations</t>
        </is>
      </c>
      <c r="M1" s="11" t="inlineStr">
        <is>
          <t>Conclusion</t>
        </is>
      </c>
      <c r="N1" s="11" t="inlineStr">
        <is>
          <t>Recommendations</t>
        </is>
      </c>
    </row>
    <row r="2">
      <c r="A2" s="12" t="inlineStr">
        <is>
          <t>Item 1(a) — Access Control</t>
        </is>
      </c>
      <c r="B2" s="13" t="n"/>
      <c r="C2" s="13" t="n"/>
      <c r="D2" s="13" t="n"/>
      <c r="E2" s="13" t="n"/>
      <c r="F2" s="13" t="n"/>
      <c r="G2" s="13" t="n"/>
      <c r="H2" s="13" t="n"/>
      <c r="I2" s="13" t="n"/>
      <c r="J2" s="13" t="n"/>
      <c r="K2" s="13" t="n"/>
      <c r="L2" s="13" t="n"/>
      <c r="M2" s="13" t="n"/>
      <c r="N2" s="13" t="n"/>
    </row>
    <row r="3">
      <c r="A3" s="14" t="inlineStr">
        <is>
          <t>Access control is foundational — who can access what. Expect policy-driven provisioning, periodic reviews, PAM controls, timely revocation. Excessive access is the most common audit finding.</t>
        </is>
      </c>
      <c r="B3" s="15" t="n"/>
      <c r="C3" s="15" t="n"/>
      <c r="D3" s="15" t="n"/>
      <c r="E3" s="15" t="n"/>
      <c r="F3" s="15" t="n"/>
      <c r="G3" s="15" t="n"/>
      <c r="H3" s="15" t="n"/>
      <c r="I3" s="15" t="n"/>
      <c r="J3" s="15" t="n"/>
      <c r="K3" s="15" t="n"/>
      <c r="L3" s="15" t="n"/>
      <c r="M3" s="15" t="n"/>
      <c r="N3" s="15" t="n"/>
    </row>
    <row r="4">
      <c r="A4" s="16" t="inlineStr">
        <is>
          <t>App7-D1(a)</t>
        </is>
      </c>
      <c r="B4" s="16" t="inlineStr">
        <is>
          <t>PD-01</t>
        </is>
      </c>
      <c r="C4" s="16" t="inlineStr">
        <is>
          <t>ORG</t>
        </is>
      </c>
      <c r="D4" s="16" t="inlineStr">
        <is>
          <t>Access Control</t>
        </is>
      </c>
      <c r="E4" s="16" t="inlineStr">
        <is>
          <t>Access control policies, provisioning, privileged access, and periodic review</t>
        </is>
      </c>
      <c r="F4" s="16" t="inlineStr"/>
      <c r="G4" s="16" t="inlineStr"/>
      <c r="H4" s="16" t="inlineStr"/>
      <c r="I4" s="16" t="inlineStr"/>
      <c r="J4" s="16" t="inlineStr"/>
      <c r="K4" s="16" t="inlineStr"/>
      <c r="L4" s="16" t="inlineStr"/>
      <c r="M4" s="17" t="inlineStr"/>
      <c r="N4" s="17" t="inlineStr"/>
    </row>
    <row r="5">
      <c r="A5" s="7" t="inlineStr">
        <is>
          <t>App7-D1(a)(i)</t>
        </is>
      </c>
      <c r="B5" s="7" t="inlineStr">
        <is>
          <t>PD-01.1</t>
        </is>
      </c>
      <c r="C5" s="7" t="inlineStr"/>
      <c r="D5" s="7" t="inlineStr"/>
      <c r="E5" s="7" t="inlineStr">
        <is>
          <t>Access control policies and mechanisms</t>
        </is>
      </c>
      <c r="F5" s="7" t="inlineStr">
        <is>
          <t>1. Obtain the FI's access control policy and supporting standards.
2. Verify policy covers user registration, de-registration, access provisioning, and privilege management.
3. Sample 20 user accounts — verify access rights are consistent with job roles (least privilege).
4. Check that access reviews are performed periodically (quarterly for privileged, semi-annually for standard).
5. Verify access revocation upon termination — sample 10 recent leavers/transfers.</t>
        </is>
      </c>
      <c r="G5" s="7" t="inlineStr">
        <is>
          <t>Access control policy; User access provisioning records; Access review reports; HR leaver/transfer list vs. access revocation logs</t>
        </is>
      </c>
      <c r="H5" s="7" t="inlineStr">
        <is>
          <t>Inspection</t>
        </is>
      </c>
      <c r="I5" s="7" t="inlineStr"/>
      <c r="J5" s="7" t="inlineStr"/>
      <c r="K5" s="7" t="inlineStr"/>
      <c r="L5" s="7" t="inlineStr"/>
      <c r="M5" s="7" t="inlineStr"/>
      <c r="N5" s="7" t="inlineStr"/>
    </row>
    <row r="6">
      <c r="A6" s="7" t="inlineStr">
        <is>
          <t>App7-D1(a)(ii)</t>
        </is>
      </c>
      <c r="B6" s="7" t="inlineStr">
        <is>
          <t>PD-01.2</t>
        </is>
      </c>
      <c r="C6" s="7" t="inlineStr"/>
      <c r="D6" s="7" t="inlineStr"/>
      <c r="E6" s="7" t="inlineStr">
        <is>
          <t>Privileged access management</t>
        </is>
      </c>
      <c r="F6" s="7" t="inlineStr">
        <is>
          <t>1. Obtain the PAM policy or standard.
2. Obtain the list of all privileged accounts (system admin, DBA, root, domain admin).
3. Verify privileged accounts are individually assigned or vault-managed with session recording.
4. Check that privileged access is time-bound and subject to approval workflow.
5. Review privileged session logs for the past 3 months for anomalies.</t>
        </is>
      </c>
      <c r="G6" s="7" t="inlineStr">
        <is>
          <t>PAM policy; Privileged account inventory; PAM tool configuration and logs; Session recording samples</t>
        </is>
      </c>
      <c r="H6" s="7" t="inlineStr">
        <is>
          <t>Inspection</t>
        </is>
      </c>
      <c r="I6" s="7" t="inlineStr"/>
      <c r="J6" s="7" t="inlineStr"/>
      <c r="K6" s="7" t="inlineStr"/>
      <c r="L6" s="7" t="inlineStr"/>
      <c r="M6" s="7" t="inlineStr"/>
      <c r="N6" s="7" t="inlineStr"/>
    </row>
    <row r="7">
      <c r="A7" s="12" t="inlineStr">
        <is>
          <t>Item 1(b) — Physical and Environmental Security</t>
        </is>
      </c>
      <c r="B7" s="13" t="n"/>
      <c r="C7" s="13" t="n"/>
      <c r="D7" s="13" t="n"/>
      <c r="E7" s="13" t="n"/>
      <c r="F7" s="13" t="n"/>
      <c r="G7" s="13" t="n"/>
      <c r="H7" s="13" t="n"/>
      <c r="I7" s="13" t="n"/>
      <c r="J7" s="13" t="n"/>
      <c r="K7" s="13" t="n"/>
      <c r="L7" s="13" t="n"/>
      <c r="M7" s="13" t="n"/>
      <c r="N7" s="13" t="n"/>
    </row>
    <row r="8">
      <c r="A8" s="14" t="inlineStr">
        <is>
          <t>Physical controls protect technology assets from unauthorised access and environmental threats. Expect multi-layered access, CCTV, environmental monitoring. Physical compromise bypasses logical controls.</t>
        </is>
      </c>
      <c r="B8" s="15" t="n"/>
      <c r="C8" s="15" t="n"/>
      <c r="D8" s="15" t="n"/>
      <c r="E8" s="15" t="n"/>
      <c r="F8" s="15" t="n"/>
      <c r="G8" s="15" t="n"/>
      <c r="H8" s="15" t="n"/>
      <c r="I8" s="15" t="n"/>
      <c r="J8" s="15" t="n"/>
      <c r="K8" s="15" t="n"/>
      <c r="L8" s="15" t="n"/>
      <c r="M8" s="15" t="n"/>
      <c r="N8" s="15" t="n"/>
    </row>
    <row r="9">
      <c r="A9" s="16" t="inlineStr">
        <is>
          <t>App7-D1(b)</t>
        </is>
      </c>
      <c r="B9" s="16" t="inlineStr">
        <is>
          <t>PD-02</t>
        </is>
      </c>
      <c r="C9" s="16" t="inlineStr">
        <is>
          <t>ORG</t>
        </is>
      </c>
      <c r="D9" s="16" t="inlineStr">
        <is>
          <t>Physical Security</t>
        </is>
      </c>
      <c r="E9" s="16" t="inlineStr">
        <is>
          <t>Physical access controls and environmental protection for technology assets</t>
        </is>
      </c>
      <c r="F9" s="16" t="inlineStr"/>
      <c r="G9" s="16" t="inlineStr"/>
      <c r="H9" s="16" t="inlineStr"/>
      <c r="I9" s="16" t="inlineStr"/>
      <c r="J9" s="16" t="inlineStr"/>
      <c r="K9" s="16" t="inlineStr"/>
      <c r="L9" s="16" t="inlineStr"/>
      <c r="M9" s="17" t="inlineStr"/>
      <c r="N9" s="17" t="inlineStr"/>
    </row>
    <row r="10">
      <c r="A10" s="7" t="inlineStr">
        <is>
          <t>App7-D1(b)(i)</t>
        </is>
      </c>
      <c r="B10" s="7" t="inlineStr">
        <is>
          <t>PD-02.1</t>
        </is>
      </c>
      <c r="C10" s="7" t="inlineStr"/>
      <c r="D10" s="7" t="inlineStr"/>
      <c r="E10" s="7" t="inlineStr">
        <is>
          <t>Physical security controls</t>
        </is>
      </c>
      <c r="F10" s="7" t="inlineStr">
        <is>
          <t>1. Identify all sensitive areas (data centres, server rooms, network rooms).
2. Verify multi-layered physical access controls (badge, biometric, PIN).
3. Review visitor management procedures.
4. Verify CCTV coverage with minimum 90-day retention.
5. Sample-check physical access logs against approved access lists.</t>
        </is>
      </c>
      <c r="G10" s="7" t="inlineStr">
        <is>
          <t>Physical security policy; Access control system config; Visitor logs; CCTV coverage map; Physical access log reconciliation</t>
        </is>
      </c>
      <c r="H10" s="7" t="inlineStr">
        <is>
          <t>Inspection / Observation</t>
        </is>
      </c>
      <c r="I10" s="7" t="inlineStr"/>
      <c r="J10" s="7" t="inlineStr"/>
      <c r="K10" s="7" t="inlineStr"/>
      <c r="L10" s="7" t="inlineStr"/>
      <c r="M10" s="7" t="inlineStr"/>
      <c r="N10" s="7" t="inlineStr"/>
    </row>
    <row r="11">
      <c r="A11" s="7" t="inlineStr">
        <is>
          <t>App7-D1(b)(ii)</t>
        </is>
      </c>
      <c r="B11" s="7" t="inlineStr">
        <is>
          <t>PD-02.2</t>
        </is>
      </c>
      <c r="C11" s="7" t="inlineStr"/>
      <c r="D11" s="7" t="inlineStr"/>
      <c r="E11" s="7" t="inlineStr">
        <is>
          <t>Environmental controls</t>
        </is>
      </c>
      <c r="F11" s="7" t="inlineStr">
        <is>
          <t>1. Verify fire detection and suppression systems are current on inspections.
2. Check water leak detection.
3. Verify temperature and humidity monitoring with alerts.
4. Confirm environmental incident response procedures are tested.</t>
        </is>
      </c>
      <c r="G11" s="7" t="inlineStr">
        <is>
          <t>Fire system inspection certificates; Water leak detection layout; Environmental monitoring dashboards; Incident response test records</t>
        </is>
      </c>
      <c r="H11" s="7" t="inlineStr">
        <is>
          <t>Inspection / Observation</t>
        </is>
      </c>
      <c r="I11" s="7" t="inlineStr"/>
      <c r="J11" s="7" t="inlineStr"/>
      <c r="K11" s="7" t="inlineStr"/>
      <c r="L11" s="7" t="inlineStr"/>
      <c r="M11" s="7" t="inlineStr"/>
      <c r="N11" s="7" t="inlineStr"/>
    </row>
    <row r="12">
      <c r="A12" s="12" t="inlineStr">
        <is>
          <t>Item 1(c) — Operations Security</t>
        </is>
      </c>
      <c r="B12" s="13" t="n"/>
      <c r="C12" s="13" t="n"/>
      <c r="D12" s="13" t="n"/>
      <c r="E12" s="13" t="n"/>
      <c r="F12" s="13" t="n"/>
      <c r="G12" s="13" t="n"/>
      <c r="H12" s="13" t="n"/>
      <c r="I12" s="13" t="n"/>
      <c r="J12" s="13" t="n"/>
      <c r="K12" s="13" t="n"/>
      <c r="L12" s="13" t="n"/>
      <c r="M12" s="13" t="n"/>
      <c r="N12" s="13" t="n"/>
    </row>
    <row r="13">
      <c r="A13" s="14" t="inlineStr">
        <is>
          <t>Operational controls ensure systems are managed securely. Expect documented procedures, controlled changes, tested backups, malware protection, vulnerability management. Operational failures cause avoidable incidents.</t>
        </is>
      </c>
      <c r="B13" s="15" t="n"/>
      <c r="C13" s="15" t="n"/>
      <c r="D13" s="15" t="n"/>
      <c r="E13" s="15" t="n"/>
      <c r="F13" s="15" t="n"/>
      <c r="G13" s="15" t="n"/>
      <c r="H13" s="15" t="n"/>
      <c r="I13" s="15" t="n"/>
      <c r="J13" s="15" t="n"/>
      <c r="K13" s="15" t="n"/>
      <c r="L13" s="15" t="n"/>
      <c r="M13" s="15" t="n"/>
      <c r="N13" s="15" t="n"/>
    </row>
    <row r="14">
      <c r="A14" s="16" t="inlineStr">
        <is>
          <t>App7-D1(c)</t>
        </is>
      </c>
      <c r="B14" s="16" t="inlineStr">
        <is>
          <t>PD-03</t>
        </is>
      </c>
      <c r="C14" s="16" t="inlineStr">
        <is>
          <t>ORG</t>
        </is>
      </c>
      <c r="D14" s="16" t="inlineStr">
        <is>
          <t>Operations Security</t>
        </is>
      </c>
      <c r="E14" s="16" t="inlineStr">
        <is>
          <t>Operational procedures, change management, backup, malware protection, and vulnerability management</t>
        </is>
      </c>
      <c r="F14" s="16" t="inlineStr"/>
      <c r="G14" s="16" t="inlineStr"/>
      <c r="H14" s="16" t="inlineStr"/>
      <c r="I14" s="16" t="inlineStr"/>
      <c r="J14" s="16" t="inlineStr"/>
      <c r="K14" s="16" t="inlineStr"/>
      <c r="L14" s="16" t="inlineStr"/>
      <c r="M14" s="17" t="inlineStr"/>
      <c r="N14" s="17" t="inlineStr"/>
    </row>
    <row r="15">
      <c r="A15" s="7" t="inlineStr">
        <is>
          <t>App7-D1(c)(i)</t>
        </is>
      </c>
      <c r="B15" s="7" t="inlineStr">
        <is>
          <t>PD-03.1</t>
        </is>
      </c>
      <c r="C15" s="7" t="inlineStr"/>
      <c r="D15" s="7" t="inlineStr"/>
      <c r="E15" s="7" t="inlineStr">
        <is>
          <t>Operational procedures and controls</t>
        </is>
      </c>
      <c r="F15" s="7" t="inlineStr">
        <is>
          <t>1. Obtain documented operating procedures (change mgmt, capacity mgmt, backup, malware protection).
2. Verify change management — sample 10 changes with full lifecycle.
3. Verify backup procedures — confirm critical systems backed up and restore tested.
4. Verify anti-malware deployed with current signatures.</t>
        </is>
      </c>
      <c r="G15" s="7" t="inlineStr">
        <is>
          <t>Operating procedures; 10 sampled change records; Backup schedule and restore test results; Anti-malware deployment reports</t>
        </is>
      </c>
      <c r="H15" s="7" t="inlineStr">
        <is>
          <t>Inspection</t>
        </is>
      </c>
      <c r="I15" s="7" t="inlineStr"/>
      <c r="J15" s="7" t="inlineStr"/>
      <c r="K15" s="7" t="inlineStr"/>
      <c r="L15" s="7" t="inlineStr"/>
      <c r="M15" s="7" t="inlineStr"/>
      <c r="N15" s="7" t="inlineStr"/>
    </row>
    <row r="16">
      <c r="A16" s="7" t="inlineStr">
        <is>
          <t>App7-D1(c)(ii)</t>
        </is>
      </c>
      <c r="B16" s="7" t="inlineStr">
        <is>
          <t>PD-03.2</t>
        </is>
      </c>
      <c r="C16" s="7" t="inlineStr"/>
      <c r="D16" s="7" t="inlineStr"/>
      <c r="E16" s="7" t="inlineStr">
        <is>
          <t>Vulnerability management and patching</t>
        </is>
      </c>
      <c r="F16" s="7" t="inlineStr">
        <is>
          <t>1. Obtain vulnerability management policy and patching SLAs.
2. Review most recent vulnerability scan results.
3. Check patch compliance rates.
4. Verify exceptions are formally risk-accepted.</t>
        </is>
      </c>
      <c r="G16" s="7" t="inlineStr">
        <is>
          <t>Vulnerability management policy; Scan reports; Patch compliance dashboard; Risk acceptance records</t>
        </is>
      </c>
      <c r="H16" s="7" t="inlineStr">
        <is>
          <t>Inspection</t>
        </is>
      </c>
      <c r="I16" s="7" t="inlineStr"/>
      <c r="J16" s="7" t="inlineStr"/>
      <c r="K16" s="7" t="inlineStr"/>
      <c r="L16" s="7" t="inlineStr"/>
      <c r="M16" s="7" t="inlineStr"/>
      <c r="N16" s="7" t="inlineStr"/>
    </row>
    <row r="17">
      <c r="A17" s="12" t="inlineStr">
        <is>
          <t>Item 1(d) — Communications Security</t>
        </is>
      </c>
      <c r="B17" s="13" t="n"/>
      <c r="C17" s="13" t="n"/>
      <c r="D17" s="13" t="n"/>
      <c r="E17" s="13" t="n"/>
      <c r="F17" s="13" t="n"/>
      <c r="G17" s="13" t="n"/>
      <c r="H17" s="13" t="n"/>
      <c r="I17" s="13" t="n"/>
      <c r="J17" s="13" t="n"/>
      <c r="K17" s="13" t="n"/>
      <c r="L17" s="13" t="n"/>
      <c r="M17" s="13" t="n"/>
      <c r="N17" s="13" t="n"/>
    </row>
    <row r="18">
      <c r="A18" s="14" t="inlineStr">
        <is>
          <t>Network controls protect data in transit and network integrity. Expect segmentation, least-privilege firewall rules, encryption, IDS/IPS. Network compromise provides access to all connected systems.</t>
        </is>
      </c>
      <c r="B18" s="15" t="n"/>
      <c r="C18" s="15" t="n"/>
      <c r="D18" s="15" t="n"/>
      <c r="E18" s="15" t="n"/>
      <c r="F18" s="15" t="n"/>
      <c r="G18" s="15" t="n"/>
      <c r="H18" s="15" t="n"/>
      <c r="I18" s="15" t="n"/>
      <c r="J18" s="15" t="n"/>
      <c r="K18" s="15" t="n"/>
      <c r="L18" s="15" t="n"/>
      <c r="M18" s="15" t="n"/>
      <c r="N18" s="15" t="n"/>
    </row>
    <row r="19">
      <c r="A19" s="16" t="inlineStr">
        <is>
          <t>App7-D1(d)</t>
        </is>
      </c>
      <c r="B19" s="16" t="inlineStr">
        <is>
          <t>PD-04</t>
        </is>
      </c>
      <c r="C19" s="16" t="inlineStr">
        <is>
          <t>ORG</t>
        </is>
      </c>
      <c r="D19" s="16" t="inlineStr">
        <is>
          <t>Communications Security</t>
        </is>
      </c>
      <c r="E19" s="16" t="inlineStr">
        <is>
          <t>Network security, segmentation, encryption of data in transit, and intrusion detection</t>
        </is>
      </c>
      <c r="F19" s="16" t="inlineStr"/>
      <c r="G19" s="16" t="inlineStr"/>
      <c r="H19" s="16" t="inlineStr"/>
      <c r="I19" s="16" t="inlineStr"/>
      <c r="J19" s="16" t="inlineStr"/>
      <c r="K19" s="16" t="inlineStr"/>
      <c r="L19" s="16" t="inlineStr"/>
      <c r="M19" s="17" t="inlineStr"/>
      <c r="N19" s="17" t="inlineStr"/>
    </row>
    <row r="20">
      <c r="A20" s="7" t="inlineStr">
        <is>
          <t>App7-D1(d)(i)</t>
        </is>
      </c>
      <c r="B20" s="7" t="inlineStr">
        <is>
          <t>PD-04.1</t>
        </is>
      </c>
      <c r="C20" s="7" t="inlineStr"/>
      <c r="D20" s="7" t="inlineStr"/>
      <c r="E20" s="7" t="inlineStr">
        <is>
          <t>Network security and secure communications</t>
        </is>
      </c>
      <c r="F20" s="7" t="inlineStr">
        <is>
          <t>1. Review network segmentation.
2. Verify firewall rules — sample 20 rules for least-privilege.
3. Confirm encryption of data in transit (TLS 1.2+).
4. Verify secure configuration of email, messaging, file transfer.
5. Check IDS/IPS deployed at critical boundaries.</t>
        </is>
      </c>
      <c r="G20" s="7" t="inlineStr">
        <is>
          <t>Network architecture diagram; Firewall rule base sample; TLS configuration; IDS/IPS deployment and alert records</t>
        </is>
      </c>
      <c r="H20" s="7" t="inlineStr">
        <is>
          <t>Inspection</t>
        </is>
      </c>
      <c r="I20" s="7" t="inlineStr"/>
      <c r="J20" s="7" t="inlineStr"/>
      <c r="K20" s="7" t="inlineStr"/>
      <c r="L20" s="7" t="inlineStr"/>
      <c r="M20" s="7" t="inlineStr"/>
      <c r="N20" s="7" t="inlineStr"/>
    </row>
    <row r="21">
      <c r="A21" s="12" t="inlineStr">
        <is>
          <t>Item 1(e) — Incident Management</t>
        </is>
      </c>
      <c r="B21" s="13" t="n"/>
      <c r="C21" s="13" t="n"/>
      <c r="D21" s="13" t="n"/>
      <c r="E21" s="13" t="n"/>
      <c r="F21" s="13" t="n"/>
      <c r="G21" s="13" t="n"/>
      <c r="H21" s="13" t="n"/>
      <c r="I21" s="13" t="n"/>
      <c r="J21" s="13" t="n"/>
      <c r="K21" s="13" t="n"/>
      <c r="L21" s="13" t="n"/>
      <c r="M21" s="13" t="n"/>
      <c r="N21" s="13" t="n"/>
    </row>
    <row r="22">
      <c r="A22" s="14" t="inlineStr">
        <is>
          <t>Incident management ensures timely detection, response, and recovery. Expect 24/7 SOC, SIEM, IR playbooks, annual exercises. Without incident management, breaches escalate unchecked.</t>
        </is>
      </c>
      <c r="B22" s="15" t="n"/>
      <c r="C22" s="15" t="n"/>
      <c r="D22" s="15" t="n"/>
      <c r="E22" s="15" t="n"/>
      <c r="F22" s="15" t="n"/>
      <c r="G22" s="15" t="n"/>
      <c r="H22" s="15" t="n"/>
      <c r="I22" s="15" t="n"/>
      <c r="J22" s="15" t="n"/>
      <c r="K22" s="15" t="n"/>
      <c r="L22" s="15" t="n"/>
      <c r="M22" s="15" t="n"/>
      <c r="N22" s="15" t="n"/>
    </row>
    <row r="23">
      <c r="A23" s="16" t="inlineStr">
        <is>
          <t>App7-D1(e)</t>
        </is>
      </c>
      <c r="B23" s="16" t="inlineStr">
        <is>
          <t>PD-05</t>
        </is>
      </c>
      <c r="C23" s="16" t="inlineStr">
        <is>
          <t>ORG</t>
        </is>
      </c>
      <c r="D23" s="16" t="inlineStr">
        <is>
          <t>Incident Management</t>
        </is>
      </c>
      <c r="E23" s="16" t="inlineStr">
        <is>
          <t>Incident detection, classification, response, RCA, and regulatory notification</t>
        </is>
      </c>
      <c r="F23" s="16" t="inlineStr"/>
      <c r="G23" s="16" t="inlineStr"/>
      <c r="H23" s="16" t="inlineStr"/>
      <c r="I23" s="16" t="inlineStr"/>
      <c r="J23" s="16" t="inlineStr"/>
      <c r="K23" s="16" t="inlineStr"/>
      <c r="L23" s="16" t="inlineStr"/>
      <c r="M23" s="17" t="inlineStr"/>
      <c r="N23" s="17" t="inlineStr"/>
    </row>
    <row r="24">
      <c r="A24" s="7" t="inlineStr">
        <is>
          <t>App7-D1(e)(i)</t>
        </is>
      </c>
      <c r="B24" s="7" t="inlineStr">
        <is>
          <t>PD-05.1</t>
        </is>
      </c>
      <c r="C24" s="7" t="inlineStr"/>
      <c r="D24" s="7" t="inlineStr"/>
      <c r="E24" s="7" t="inlineStr">
        <is>
          <t>Incident management framework</t>
        </is>
      </c>
      <c r="F24" s="7" t="inlineStr">
        <is>
          <t>1. Obtain incident management policy and procedures.
2. Verify incident classification scheme.
3. Review incident log for past 12 months.
4. Verify RCA for significant incidents with corrective actions.
5. Confirm regulatory notification procedures.</t>
        </is>
      </c>
      <c r="G24" s="7" t="inlineStr">
        <is>
          <t>Incident management policy; Classification matrix; Incident log (12 months); RCA reports; Regulatory notification records</t>
        </is>
      </c>
      <c r="H24" s="7" t="inlineStr">
        <is>
          <t>Inspection</t>
        </is>
      </c>
      <c r="I24" s="7" t="inlineStr"/>
      <c r="J24" s="7" t="inlineStr"/>
      <c r="K24" s="7" t="inlineStr"/>
      <c r="L24" s="7" t="inlineStr"/>
      <c r="M24" s="7" t="inlineStr"/>
      <c r="N24" s="7" t="inlineStr"/>
    </row>
    <row r="25">
      <c r="A25" s="7" t="inlineStr">
        <is>
          <t>App7-D1(e)(ii)</t>
        </is>
      </c>
      <c r="B25" s="7" t="inlineStr">
        <is>
          <t>PD-05.2</t>
        </is>
      </c>
      <c r="C25" s="7" t="inlineStr"/>
      <c r="D25" s="7" t="inlineStr"/>
      <c r="E25" s="7" t="inlineStr">
        <is>
          <t>Detection and response capabilities</t>
        </is>
      </c>
      <c r="F25" s="7" t="inlineStr">
        <is>
          <t>1. Confirm SOC operates 24/7.
2. Verify SIEM deployment with critical log sources.
3. Sample 15 alerts — verify triage.
4. Confirm IR playbooks for common scenarios.
5. Verify annual IR drills/tabletop exercises.</t>
        </is>
      </c>
      <c r="G25" s="7" t="inlineStr">
        <is>
          <t>SOC operational documentation; SIEM log source inventory; 15 sampled alert records; IR playbooks; Drill/tabletop reports</t>
        </is>
      </c>
      <c r="H25" s="7" t="inlineStr">
        <is>
          <t>Inspection / Inquiry</t>
        </is>
      </c>
      <c r="I25" s="7" t="inlineStr"/>
      <c r="J25" s="7" t="inlineStr"/>
      <c r="K25" s="7" t="inlineStr"/>
      <c r="L25" s="7" t="inlineStr"/>
      <c r="M25" s="7" t="inlineStr"/>
      <c r="N25" s="7" t="inlineStr"/>
    </row>
    <row r="26">
      <c r="A26" s="12" t="inlineStr">
        <is>
          <t>Item 1(f) — Business Continuity</t>
        </is>
      </c>
      <c r="B26" s="13" t="n"/>
      <c r="C26" s="13" t="n"/>
      <c r="D26" s="13" t="n"/>
      <c r="E26" s="13" t="n"/>
      <c r="F26" s="13" t="n"/>
      <c r="G26" s="13" t="n"/>
      <c r="H26" s="13" t="n"/>
      <c r="I26" s="13" t="n"/>
      <c r="J26" s="13" t="n"/>
      <c r="K26" s="13" t="n"/>
      <c r="L26" s="13" t="n"/>
      <c r="M26" s="13" t="n"/>
      <c r="N26" s="13" t="n"/>
    </row>
    <row r="27">
      <c r="A27" s="14" t="inlineStr">
        <is>
          <t>Business continuity ensures operations continue during disruptions. Expect BCP/DRP with cyber scenarios, tested DR including security controls, redundant security infrastructure. Untested DR fails when needed.</t>
        </is>
      </c>
      <c r="B27" s="15" t="n"/>
      <c r="C27" s="15" t="n"/>
      <c r="D27" s="15" t="n"/>
      <c r="E27" s="15" t="n"/>
      <c r="F27" s="15" t="n"/>
      <c r="G27" s="15" t="n"/>
      <c r="H27" s="15" t="n"/>
      <c r="I27" s="15" t="n"/>
      <c r="J27" s="15" t="n"/>
      <c r="K27" s="15" t="n"/>
      <c r="L27" s="15" t="n"/>
      <c r="M27" s="15" t="n"/>
      <c r="N27" s="15" t="n"/>
    </row>
    <row r="28">
      <c r="A28" s="16" t="inlineStr">
        <is>
          <t>App7-D1(f)</t>
        </is>
      </c>
      <c r="B28" s="16" t="inlineStr">
        <is>
          <t>PD-06</t>
        </is>
      </c>
      <c r="C28" s="16" t="inlineStr">
        <is>
          <t>ORG</t>
        </is>
      </c>
      <c r="D28" s="16" t="inlineStr">
        <is>
          <t>Business Continuity</t>
        </is>
      </c>
      <c r="E28" s="16" t="inlineStr">
        <is>
          <t>Security in BCP/DRP, DR testing with security controls, and redundancy of security infrastructure</t>
        </is>
      </c>
      <c r="F28" s="16" t="inlineStr"/>
      <c r="G28" s="16" t="inlineStr"/>
      <c r="H28" s="16" t="inlineStr"/>
      <c r="I28" s="16" t="inlineStr"/>
      <c r="J28" s="16" t="inlineStr"/>
      <c r="K28" s="16" t="inlineStr"/>
      <c r="L28" s="16" t="inlineStr"/>
      <c r="M28" s="17" t="inlineStr"/>
      <c r="N28" s="17" t="inlineStr"/>
    </row>
    <row r="29">
      <c r="A29" s="7" t="inlineStr">
        <is>
          <t>App7-D1(f)(i)</t>
        </is>
      </c>
      <c r="B29" s="7" t="inlineStr">
        <is>
          <t>PD-06.1</t>
        </is>
      </c>
      <c r="C29" s="7" t="inlineStr"/>
      <c r="D29" s="7" t="inlineStr"/>
      <c r="E29" s="7" t="inlineStr">
        <is>
          <t>Security in BCP/DRP</t>
        </is>
      </c>
      <c r="F29" s="7" t="inlineStr">
        <is>
          <t>1. Obtain BCP and IT DRP.
2. Verify security requirements addressed in BCP/DRP.
3. Check BCP/DRP includes cyber incident scenarios.
4. Verify recovery procedures include security validation.</t>
        </is>
      </c>
      <c r="G29" s="7" t="inlineStr">
        <is>
          <t>BCP and IT DRP; Security requirements in BCP/DRP; Cyber incident scenarios; Recovery security validation checklists</t>
        </is>
      </c>
      <c r="H29" s="7" t="inlineStr">
        <is>
          <t>Inspection</t>
        </is>
      </c>
      <c r="I29" s="7" t="inlineStr"/>
      <c r="J29" s="7" t="inlineStr"/>
      <c r="K29" s="7" t="inlineStr"/>
      <c r="L29" s="7" t="inlineStr"/>
      <c r="M29" s="7" t="inlineStr"/>
      <c r="N29" s="7" t="inlineStr"/>
    </row>
    <row r="30">
      <c r="A30" s="7" t="inlineStr">
        <is>
          <t>App7-D1(f)(ii)</t>
        </is>
      </c>
      <c r="B30" s="7" t="inlineStr">
        <is>
          <t>PD-06.2</t>
        </is>
      </c>
      <c r="C30" s="7" t="inlineStr"/>
      <c r="D30" s="7" t="inlineStr"/>
      <c r="E30" s="7" t="inlineStr">
        <is>
          <t>BCP/DRP testing with security controls</t>
        </is>
      </c>
      <c r="F30" s="7" t="inlineStr">
        <is>
          <t>1. Review most recent BCP/DRP test.
2. Verify security controls tested during DR exercise.
3. Confirm security findings remediated.
4. Verify DR site maintains equivalent security posture.</t>
        </is>
      </c>
      <c r="G30" s="7" t="inlineStr">
        <is>
          <t>BCP/DRP test plan and results; Security test components; DR site security assessment; Remediation tracker</t>
        </is>
      </c>
      <c r="H30" s="7" t="inlineStr">
        <is>
          <t>Inspection</t>
        </is>
      </c>
      <c r="I30" s="7" t="inlineStr"/>
      <c r="J30" s="7" t="inlineStr"/>
      <c r="K30" s="7" t="inlineStr"/>
      <c r="L30" s="7" t="inlineStr"/>
      <c r="M30" s="7" t="inlineStr"/>
      <c r="N30" s="7" t="inlineStr"/>
    </row>
    <row r="31">
      <c r="A31" s="7" t="inlineStr">
        <is>
          <t>App7-D1(f)(iii)</t>
        </is>
      </c>
      <c r="B31" s="7" t="inlineStr">
        <is>
          <t>PD-06.3</t>
        </is>
      </c>
      <c r="C31" s="7" t="inlineStr"/>
      <c r="D31" s="7" t="inlineStr"/>
      <c r="E31" s="7" t="inlineStr">
        <is>
          <t>Redundancy of security infrastructure</t>
        </is>
      </c>
      <c r="F31" s="7" t="inlineStr">
        <is>
          <t>1. Identify critical security infrastructure and verify HA configuration.
2. Confirm failover tested.
3. Verify monitoring continues during DR.
4. Check licenses valid at DR site.</t>
        </is>
      </c>
      <c r="G31" s="7" t="inlineStr">
        <is>
          <t>Security infrastructure HA architecture; Failover test records; DR monitoring evidence; License/subscription records</t>
        </is>
      </c>
      <c r="H31" s="7" t="inlineStr">
        <is>
          <t>Inspection</t>
        </is>
      </c>
      <c r="I31" s="7" t="inlineStr"/>
      <c r="J31" s="7" t="inlineStr"/>
      <c r="K31" s="7" t="inlineStr"/>
      <c r="L31" s="7" t="inlineStr"/>
      <c r="M31" s="7" t="inlineStr"/>
      <c r="N31" s="7" t="inlineStr"/>
    </row>
    <row r="32">
      <c r="A32" s="12" t="inlineStr">
        <is>
          <t>Item 2(a) — Customer Identity Authentication</t>
        </is>
      </c>
      <c r="B32" s="13" t="n"/>
      <c r="C32" s="13" t="n"/>
      <c r="D32" s="13" t="n"/>
      <c r="E32" s="13" t="n"/>
      <c r="F32" s="13" t="n"/>
      <c r="G32" s="13" t="n"/>
      <c r="H32" s="13" t="n"/>
      <c r="I32" s="13" t="n"/>
      <c r="J32" s="13" t="n"/>
      <c r="K32" s="13" t="n"/>
      <c r="L32" s="13" t="n"/>
      <c r="M32" s="13" t="n"/>
      <c r="N32" s="13" t="n"/>
    </row>
    <row r="33">
      <c r="A33" s="14" t="inlineStr">
        <is>
          <t>Customer authentication protects online services from unauthorised access. Expect MFA, secure sessions, strong cryptography, anti-session-fixation. Weak authentication directly exposes customers.</t>
        </is>
      </c>
      <c r="B33" s="15" t="n"/>
      <c r="C33" s="15" t="n"/>
      <c r="D33" s="15" t="n"/>
      <c r="E33" s="15" t="n"/>
      <c r="F33" s="15" t="n"/>
      <c r="G33" s="15" t="n"/>
      <c r="H33" s="15" t="n"/>
      <c r="I33" s="15" t="n"/>
      <c r="J33" s="15" t="n"/>
      <c r="K33" s="15" t="n"/>
      <c r="L33" s="15" t="n"/>
      <c r="M33" s="15" t="n"/>
      <c r="N33" s="15" t="n"/>
    </row>
    <row r="34">
      <c r="A34" s="16" t="inlineStr">
        <is>
          <t>App7-D2(a)</t>
        </is>
      </c>
      <c r="B34" s="16" t="inlineStr">
        <is>
          <t>PD-07</t>
        </is>
      </c>
      <c r="C34" s="16" t="inlineStr">
        <is>
          <t>WORKLOAD</t>
        </is>
      </c>
      <c r="D34" s="16" t="inlineStr">
        <is>
          <t>Customer Authentication</t>
        </is>
      </c>
      <c r="E34" s="16" t="inlineStr">
        <is>
          <t>Session protection, MFA, credential storage, and cryptographic implementation</t>
        </is>
      </c>
      <c r="F34" s="16" t="inlineStr"/>
      <c r="G34" s="16" t="inlineStr"/>
      <c r="H34" s="16" t="inlineStr"/>
      <c r="I34" s="16" t="inlineStr"/>
      <c r="J34" s="16" t="inlineStr"/>
      <c r="K34" s="16" t="inlineStr"/>
      <c r="L34" s="16" t="inlineStr"/>
      <c r="M34" s="17" t="inlineStr"/>
      <c r="N34" s="17" t="inlineStr"/>
    </row>
    <row r="35">
      <c r="A35" s="7" t="inlineStr">
        <is>
          <t>App7-D2(a)(i)</t>
        </is>
      </c>
      <c r="B35" s="7" t="inlineStr">
        <is>
          <t>PD-07.1</t>
        </is>
      </c>
      <c r="C35" s="7" t="inlineStr"/>
      <c r="D35" s="7" t="inlineStr"/>
      <c r="E35" s="7" t="inlineStr">
        <is>
          <t>Session and MITM protection</t>
        </is>
      </c>
      <c r="F35" s="7" t="inlineStr">
        <is>
          <t>1. Review session management controls.
2. Verify TLS 1.2+, HSTS, certificate validity.
3. Confirm session tokens are cryptographically random with proper expiry.
4. Check anti-session-fixation controls.
5. Verify certificate pinning for mobile apps.</t>
        </is>
      </c>
      <c r="G35" s="7" t="inlineStr">
        <is>
          <t>TLS scan results; Session management config; Application security assessment; Mobile cert pinning evidence</t>
        </is>
      </c>
      <c r="H35" s="7" t="inlineStr">
        <is>
          <t>Inspection</t>
        </is>
      </c>
      <c r="I35" s="7" t="inlineStr"/>
      <c r="J35" s="7" t="inlineStr"/>
      <c r="K35" s="7" t="inlineStr"/>
      <c r="L35" s="7" t="inlineStr"/>
      <c r="M35" s="7" t="inlineStr"/>
      <c r="N35" s="7" t="inlineStr"/>
    </row>
    <row r="36">
      <c r="A36" s="7" t="inlineStr">
        <is>
          <t>App7-D2(a)(ii)</t>
        </is>
      </c>
      <c r="B36" s="7" t="inlineStr">
        <is>
          <t>PD-07.2</t>
        </is>
      </c>
      <c r="C36" s="7" t="inlineStr"/>
      <c r="D36" s="7" t="inlineStr"/>
      <c r="E36" s="7" t="inlineStr">
        <is>
          <t>Internal controls for online systems</t>
        </is>
      </c>
      <c r="F36" s="7" t="inlineStr">
        <is>
          <t>1. Verify application hardening.
2. Review app security testing results (SAST, DAST, pen test).
3. Confirm database security controls.
4. Check segmentation from corporate network.</t>
        </is>
      </c>
      <c r="G36" s="7" t="inlineStr">
        <is>
          <t>Hardening standards; App security test reports; Database security config; Network segmentation evidence</t>
        </is>
      </c>
      <c r="H36" s="7" t="inlineStr">
        <is>
          <t>Inspection</t>
        </is>
      </c>
      <c r="I36" s="7" t="inlineStr"/>
      <c r="J36" s="7" t="inlineStr"/>
      <c r="K36" s="7" t="inlineStr"/>
      <c r="L36" s="7" t="inlineStr"/>
      <c r="M36" s="7" t="inlineStr"/>
      <c r="N36" s="7" t="inlineStr"/>
    </row>
    <row r="37">
      <c r="A37" s="7" t="inlineStr">
        <is>
          <t>App7-D2(a)(iii)</t>
        </is>
      </c>
      <c r="B37" s="7" t="inlineStr">
        <is>
          <t>PD-07.3</t>
        </is>
      </c>
      <c r="C37" s="7" t="inlineStr"/>
      <c r="D37" s="7" t="inlineStr"/>
      <c r="E37" s="7" t="inlineStr">
        <is>
          <t>Multi-level authentication</t>
        </is>
      </c>
      <c r="F37" s="7" t="inlineStr">
        <is>
          <t>1. Review authentication architecture.
2. Verify MFA for login and high-risk transactions.
3. Check out-of-band authentication mechanisms.
4. Verify real-time verification for high-value transactions.
5. Assess authentication strength relative to transaction risk.</t>
        </is>
      </c>
      <c r="G37" s="7" t="inlineStr">
        <is>
          <t>Authentication architecture; MFA config; OTP/out-of-band mechanism; Risk-based authentication rules</t>
        </is>
      </c>
      <c r="H37" s="7" t="inlineStr">
        <is>
          <t>Inspection</t>
        </is>
      </c>
      <c r="I37" s="7" t="inlineStr"/>
      <c r="J37" s="7" t="inlineStr"/>
      <c r="K37" s="7" t="inlineStr"/>
      <c r="L37" s="7" t="inlineStr"/>
      <c r="M37" s="7" t="inlineStr"/>
      <c r="N37" s="7" t="inlineStr"/>
    </row>
    <row r="38">
      <c r="A38" s="7" t="inlineStr">
        <is>
          <t>App7-D2(a)(iv)</t>
        </is>
      </c>
      <c r="B38" s="7" t="inlineStr">
        <is>
          <t>PD-07.4</t>
        </is>
      </c>
      <c r="C38" s="7" t="inlineStr"/>
      <c r="D38" s="7" t="inlineStr"/>
      <c r="E38" s="7" t="inlineStr">
        <is>
          <t>Session handling and credential storage</t>
        </is>
      </c>
      <c r="F38" s="7" t="inlineStr">
        <is>
          <t>1. Verify session timeouts (idle and absolute).
2. Confirm concurrent session controls.
3. Verify credentials stored with strong hashing (bcrypt, Argon2).
4. Check auth database access-restricted and encrypted.
5. Review account lockout configuration.</t>
        </is>
      </c>
      <c r="G38" s="7" t="inlineStr">
        <is>
          <t>Session management config; Password hashing evidence; Auth database access controls; Account lockout config</t>
        </is>
      </c>
      <c r="H38" s="7" t="inlineStr">
        <is>
          <t>Inspection</t>
        </is>
      </c>
      <c r="I38" s="7" t="inlineStr"/>
      <c r="J38" s="7" t="inlineStr"/>
      <c r="K38" s="7" t="inlineStr"/>
      <c r="L38" s="7" t="inlineStr"/>
      <c r="M38" s="7" t="inlineStr"/>
      <c r="N38" s="7" t="inlineStr"/>
    </row>
    <row r="39">
      <c r="A39" s="7" t="inlineStr">
        <is>
          <t>App7-D2(a)(v)</t>
        </is>
      </c>
      <c r="B39" s="7" t="inlineStr">
        <is>
          <t>PD-07.5</t>
        </is>
      </c>
      <c r="C39" s="7" t="inlineStr"/>
      <c r="D39" s="7" t="inlineStr"/>
      <c r="E39" s="7" t="inlineStr">
        <is>
          <t>Cryptographic implementation</t>
        </is>
      </c>
      <c r="F39" s="7" t="inlineStr">
        <is>
          <t>1. Review cryptographic standards (AES-256, RSA-2048+, ECDSA P-256+).
2. Verify key management practices.
3. Check no deprecated algorithms.
4. Verify crypto implementation reviewed/tested.</t>
        </is>
      </c>
      <c r="G39" s="7" t="inlineStr">
        <is>
          <t>Cryptographic standards document; Key management procedures; HSM config; Crypto assessment results</t>
        </is>
      </c>
      <c r="H39" s="7" t="inlineStr">
        <is>
          <t>Inspection</t>
        </is>
      </c>
      <c r="I39" s="7" t="inlineStr"/>
      <c r="J39" s="7" t="inlineStr"/>
      <c r="K39" s="7" t="inlineStr"/>
      <c r="L39" s="7" t="inlineStr"/>
      <c r="M39" s="7" t="inlineStr"/>
      <c r="N39" s="7" t="inlineStr"/>
    </row>
    <row r="40">
      <c r="A40" s="12" t="inlineStr">
        <is>
          <t>Item 2(b) — Transaction Authentication</t>
        </is>
      </c>
      <c r="B40" s="13" t="n"/>
      <c r="C40" s="13" t="n"/>
      <c r="D40" s="13" t="n"/>
      <c r="E40" s="13" t="n"/>
      <c r="F40" s="13" t="n"/>
      <c r="G40" s="13" t="n"/>
      <c r="H40" s="13" t="n"/>
      <c r="I40" s="13" t="n"/>
      <c r="J40" s="13" t="n"/>
      <c r="K40" s="13" t="n"/>
      <c r="L40" s="13" t="n"/>
      <c r="M40" s="13" t="n"/>
      <c r="N40" s="13" t="n"/>
    </row>
    <row r="41">
      <c r="A41" s="14" t="inlineStr">
        <is>
          <t>Transaction authentication ensures non-repudiation and integrity. Expect transaction signing, tamper-evident audit trails, mutual authentication. Without non-repudiation, disputes cannot be resolved.</t>
        </is>
      </c>
      <c r="B41" s="15" t="n"/>
      <c r="C41" s="15" t="n"/>
      <c r="D41" s="15" t="n"/>
      <c r="E41" s="15" t="n"/>
      <c r="F41" s="15" t="n"/>
      <c r="G41" s="15" t="n"/>
      <c r="H41" s="15" t="n"/>
      <c r="I41" s="15" t="n"/>
      <c r="J41" s="15" t="n"/>
      <c r="K41" s="15" t="n"/>
      <c r="L41" s="15" t="n"/>
      <c r="M41" s="15" t="n"/>
      <c r="N41" s="15" t="n"/>
    </row>
    <row r="42">
      <c r="A42" s="16" t="inlineStr">
        <is>
          <t>App7-D2(b)</t>
        </is>
      </c>
      <c r="B42" s="16" t="inlineStr">
        <is>
          <t>PD-08</t>
        </is>
      </c>
      <c r="C42" s="16" t="inlineStr">
        <is>
          <t>WORKLOAD</t>
        </is>
      </c>
      <c r="D42" s="16" t="inlineStr">
        <is>
          <t>Transaction Authentication</t>
        </is>
      </c>
      <c r="E42" s="16" t="inlineStr">
        <is>
          <t>Proof of origin, integrity, secure delivery, and mutual authentication</t>
        </is>
      </c>
      <c r="F42" s="16" t="inlineStr"/>
      <c r="G42" s="16" t="inlineStr"/>
      <c r="H42" s="16" t="inlineStr"/>
      <c r="I42" s="16" t="inlineStr"/>
      <c r="J42" s="16" t="inlineStr"/>
      <c r="K42" s="16" t="inlineStr"/>
      <c r="L42" s="16" t="inlineStr"/>
      <c r="M42" s="17" t="inlineStr"/>
      <c r="N42" s="17" t="inlineStr"/>
    </row>
    <row r="43">
      <c r="A43" s="7" t="inlineStr">
        <is>
          <t>App7-D2(b)(i)</t>
        </is>
      </c>
      <c r="B43" s="7" t="inlineStr">
        <is>
          <t>PD-08.1</t>
        </is>
      </c>
      <c r="C43" s="7" t="inlineStr"/>
      <c r="D43" s="7" t="inlineStr"/>
      <c r="E43" s="7" t="inlineStr">
        <is>
          <t>Proof of origin and integrity</t>
        </is>
      </c>
      <c r="F43" s="7" t="inlineStr">
        <is>
          <t>1. Review transaction signing/MAC mechanisms.
2. Verify records include origin, timestamp, hash, integrity verification.
3. Confirm tamper-evident audit trails.
4. Check logs sufficient for dispute resolution.</t>
        </is>
      </c>
      <c r="G43" s="7" t="inlineStr">
        <is>
          <t>Transaction authentication mechanism; Sample transaction records; Audit trail controls; Log retention policy</t>
        </is>
      </c>
      <c r="H43" s="7" t="inlineStr">
        <is>
          <t>Inspection</t>
        </is>
      </c>
      <c r="I43" s="7" t="inlineStr"/>
      <c r="J43" s="7" t="inlineStr"/>
      <c r="K43" s="7" t="inlineStr"/>
      <c r="L43" s="7" t="inlineStr"/>
      <c r="M43" s="7" t="inlineStr"/>
      <c r="N43" s="7" t="inlineStr"/>
    </row>
    <row r="44">
      <c r="A44" s="7" t="inlineStr">
        <is>
          <t>App7-D2(b)(ii)</t>
        </is>
      </c>
      <c r="B44" s="7" t="inlineStr">
        <is>
          <t>PD-08.2</t>
        </is>
      </c>
      <c r="C44" s="7" t="inlineStr"/>
      <c r="D44" s="7" t="inlineStr"/>
      <c r="E44" s="7" t="inlineStr">
        <is>
          <t>Secure delivery and mutual authentication</t>
        </is>
      </c>
      <c r="F44" s="7" t="inlineStr">
        <is>
          <t>1. Verify delivery channel secured end-to-end.
2. Check alerts for high-risk transaction types.
3. Verify mutual authentication for B2B channels.
4. Review triggers for additional authentication.</t>
        </is>
      </c>
      <c r="G44" s="7" t="inlineStr">
        <is>
          <t>Channel security architecture; Transaction alert config; Mutual authentication implementation; Authentication trigger criteria</t>
        </is>
      </c>
      <c r="H44" s="7" t="inlineStr">
        <is>
          <t>Inspection</t>
        </is>
      </c>
      <c r="I44" s="7" t="inlineStr"/>
      <c r="J44" s="7" t="inlineStr"/>
      <c r="K44" s="7" t="inlineStr"/>
      <c r="L44" s="7" t="inlineStr"/>
      <c r="M44" s="7" t="inlineStr"/>
      <c r="N44" s="7" t="inlineStr"/>
    </row>
    <row r="45">
      <c r="A45" s="7" t="inlineStr">
        <is>
          <t>App7-D2(b)(iii)</t>
        </is>
      </c>
      <c r="B45" s="7" t="inlineStr">
        <is>
          <t>PD-08.3</t>
        </is>
      </c>
      <c r="C45" s="7" t="inlineStr"/>
      <c r="D45" s="7" t="inlineStr"/>
      <c r="E45" s="7" t="inlineStr">
        <is>
          <t>Transaction notification and confirmation</t>
        </is>
      </c>
      <c r="F45" s="7" t="inlineStr">
        <is>
          <t>1. Verify transaction notifications sent (push, SMS, email).
2. Confirm high-risk transactions trigger real-time alerts.
3. Check customer can dispute/report through notifications.
4. Verify notification delivery is reliable.</t>
        </is>
      </c>
      <c r="G45" s="7" t="inlineStr">
        <is>
          <t>Transaction notification config; Alert rules; Customer dispute channel; Notification delivery SLAs</t>
        </is>
      </c>
      <c r="H45" s="7" t="inlineStr">
        <is>
          <t>Inspection</t>
        </is>
      </c>
      <c r="I45" s="7" t="inlineStr"/>
      <c r="J45" s="7" t="inlineStr"/>
      <c r="K45" s="7" t="inlineStr"/>
      <c r="L45" s="7" t="inlineStr"/>
      <c r="M45" s="7" t="inlineStr"/>
      <c r="N45" s="7" t="inlineStr"/>
    </row>
    <row r="46">
      <c r="A46" s="7" t="inlineStr">
        <is>
          <t>App7-D2(b)(iv)</t>
        </is>
      </c>
      <c r="B46" s="7" t="inlineStr">
        <is>
          <t>PD-08.4</t>
        </is>
      </c>
      <c r="C46" s="7" t="inlineStr"/>
      <c r="D46" s="7" t="inlineStr"/>
      <c r="E46" s="7" t="inlineStr">
        <is>
          <t>Transaction binding and anti-replay</t>
        </is>
      </c>
      <c r="F46" s="7" t="inlineStr">
        <is>
          <t>1. Verify authentication tokens bound to specific transaction parameters.
2. Check anti-replay mechanisms (nonce, timestamp).
3. Verify OTP/TAC is single-use and expires within 2-5 minutes.
4. Confirm transaction cannot be modified after authentication.</t>
        </is>
      </c>
      <c r="G46" s="7" t="inlineStr">
        <is>
          <t>Transaction binding mechanism; Anti-replay controls; OTP/TAC config; Transaction immutability controls</t>
        </is>
      </c>
      <c r="H46" s="7" t="inlineStr">
        <is>
          <t>Inspection</t>
        </is>
      </c>
      <c r="I46" s="7" t="inlineStr"/>
      <c r="J46" s="7" t="inlineStr"/>
      <c r="K46" s="7" t="inlineStr"/>
      <c r="L46" s="7" t="inlineStr"/>
      <c r="M46" s="7" t="inlineStr"/>
      <c r="N46" s="7" t="inlineStr"/>
    </row>
    <row r="47">
      <c r="A47" s="12" t="inlineStr">
        <is>
          <t>Item 2(c) — Segregation of Duties</t>
        </is>
      </c>
      <c r="B47" s="13" t="n"/>
      <c r="C47" s="13" t="n"/>
      <c r="D47" s="13" t="n"/>
      <c r="E47" s="13" t="n"/>
      <c r="F47" s="13" t="n"/>
      <c r="G47" s="13" t="n"/>
      <c r="H47" s="13" t="n"/>
      <c r="I47" s="13" t="n"/>
      <c r="J47" s="13" t="n"/>
      <c r="K47" s="13" t="n"/>
      <c r="L47" s="13" t="n"/>
      <c r="M47" s="13" t="n"/>
      <c r="N47" s="13" t="n"/>
    </row>
    <row r="48">
      <c r="A48" s="14" t="inlineStr">
        <is>
          <t>SoD prevents single-person control over critical operations. Expect maker-checker, privileged user reviews, tamper-resistant authorisation. SoD failures enable fraud.</t>
        </is>
      </c>
      <c r="B48" s="15" t="n"/>
      <c r="C48" s="15" t="n"/>
      <c r="D48" s="15" t="n"/>
      <c r="E48" s="15" t="n"/>
      <c r="F48" s="15" t="n"/>
      <c r="G48" s="15" t="n"/>
      <c r="H48" s="15" t="n"/>
      <c r="I48" s="15" t="n"/>
      <c r="J48" s="15" t="n"/>
      <c r="K48" s="15" t="n"/>
      <c r="L48" s="15" t="n"/>
      <c r="M48" s="15" t="n"/>
      <c r="N48" s="15" t="n"/>
    </row>
    <row r="49">
      <c r="A49" s="16" t="inlineStr">
        <is>
          <t>App7-D2(c)</t>
        </is>
      </c>
      <c r="B49" s="16" t="inlineStr">
        <is>
          <t>PD-09</t>
        </is>
      </c>
      <c r="C49" s="16" t="inlineStr">
        <is>
          <t>WORKLOAD</t>
        </is>
      </c>
      <c r="D49" s="16" t="inlineStr">
        <is>
          <t>Segregation of Duties</t>
        </is>
      </c>
      <c r="E49" s="16" t="inlineStr">
        <is>
          <t>Dual control, maker-checker, and authorisation database integrity</t>
        </is>
      </c>
      <c r="F49" s="16" t="inlineStr"/>
      <c r="G49" s="16" t="inlineStr"/>
      <c r="H49" s="16" t="inlineStr"/>
      <c r="I49" s="16" t="inlineStr"/>
      <c r="J49" s="16" t="inlineStr"/>
      <c r="K49" s="16" t="inlineStr"/>
      <c r="L49" s="16" t="inlineStr"/>
      <c r="M49" s="17" t="inlineStr"/>
      <c r="N49" s="17" t="inlineStr"/>
    </row>
    <row r="50">
      <c r="A50" s="7" t="inlineStr">
        <is>
          <t>App7-D2(c)(i)</t>
        </is>
      </c>
      <c r="B50" s="7" t="inlineStr">
        <is>
          <t>PD-09.1</t>
        </is>
      </c>
      <c r="C50" s="7" t="inlineStr"/>
      <c r="D50" s="7" t="inlineStr"/>
      <c r="E50" s="7" t="inlineStr">
        <is>
          <t>Dual control for online transactions</t>
        </is>
      </c>
      <c r="F50" s="7" t="inlineStr">
        <is>
          <t>1. Identify critical functions in online transaction systems.
2. Verify maker-checker for critical operations.
3. Review access control matrices — no single user can initiate and approve.
4. Verify unauthorised access detection.</t>
        </is>
      </c>
      <c r="G50" s="7" t="inlineStr">
        <is>
          <t>Access control matrices; Maker-checker config; Dual control workflow; Unauthorised access detection controls</t>
        </is>
      </c>
      <c r="H50" s="7" t="inlineStr">
        <is>
          <t>Inspection</t>
        </is>
      </c>
      <c r="I50" s="7" t="inlineStr"/>
      <c r="J50" s="7" t="inlineStr"/>
      <c r="K50" s="7" t="inlineStr"/>
      <c r="L50" s="7" t="inlineStr"/>
      <c r="M50" s="7" t="inlineStr"/>
      <c r="N50" s="7" t="inlineStr"/>
    </row>
    <row r="51">
      <c r="A51" s="7" t="inlineStr">
        <is>
          <t>App7-D2(c)(ii)</t>
        </is>
      </c>
      <c r="B51" s="7" t="inlineStr">
        <is>
          <t>PD-09.2</t>
        </is>
      </c>
      <c r="C51" s="7" t="inlineStr"/>
      <c r="D51" s="7" t="inlineStr"/>
      <c r="E51" s="7" t="inlineStr">
        <is>
          <t>Authorisation database integrity</t>
        </is>
      </c>
      <c r="F51" s="7" t="inlineStr">
        <is>
          <t>1. Verify authorisation database is tamper-resistant.
2. Confirm changes require approval and are logged.
3. Obtain privileged user list — verify quarterly review.
4. Check reviews result in revocation of unnecessary access.</t>
        </is>
      </c>
      <c r="G51" s="7" t="inlineStr">
        <is>
          <t>Auth database access controls; Change logs; Privileged user review records; Revocation evidence</t>
        </is>
      </c>
      <c r="H51" s="7" t="inlineStr">
        <is>
          <t>Inspection</t>
        </is>
      </c>
      <c r="I51" s="7" t="inlineStr"/>
      <c r="J51" s="7" t="inlineStr"/>
      <c r="K51" s="7" t="inlineStr"/>
      <c r="L51" s="7" t="inlineStr"/>
      <c r="M51" s="7" t="inlineStr"/>
      <c r="N51" s="7" t="inlineStr"/>
    </row>
    <row r="52">
      <c r="A52" s="7" t="inlineStr">
        <is>
          <t>App7-D2(c)(iii)</t>
        </is>
      </c>
      <c r="B52" s="7" t="inlineStr">
        <is>
          <t>PD-09.3</t>
        </is>
      </c>
      <c r="C52" s="7" t="inlineStr"/>
      <c r="D52" s="7" t="inlineStr"/>
      <c r="E52" s="7" t="inlineStr">
        <is>
          <t>SoD in system administration</t>
        </is>
      </c>
      <c r="F52" s="7" t="inlineStr">
        <is>
          <t>1. Verify system administration duties separated (DBA vs network vs security).
2. Check no single admin has unrestricted access across domains.
3. Verify SoD matrix enforced in IAM.
4. Review compensating controls where SoD cannot be fully achieved.</t>
        </is>
      </c>
      <c r="G52" s="7" t="inlineStr">
        <is>
          <t>SoD matrix; Admin role definitions; IAM enforcement evidence; Compensating controls documentation</t>
        </is>
      </c>
      <c r="H52" s="7" t="inlineStr">
        <is>
          <t>Inspection</t>
        </is>
      </c>
      <c r="I52" s="7" t="inlineStr"/>
      <c r="J52" s="7" t="inlineStr"/>
      <c r="K52" s="7" t="inlineStr"/>
      <c r="L52" s="7" t="inlineStr"/>
      <c r="M52" s="7" t="inlineStr"/>
      <c r="N52" s="7" t="inlineStr"/>
    </row>
    <row r="53">
      <c r="A53" s="7" t="inlineStr">
        <is>
          <t>App7-D2(c)(iv)</t>
        </is>
      </c>
      <c r="B53" s="7" t="inlineStr">
        <is>
          <t>PD-09.4</t>
        </is>
      </c>
      <c r="C53" s="7" t="inlineStr"/>
      <c r="D53" s="7" t="inlineStr"/>
      <c r="E53" s="7" t="inlineStr">
        <is>
          <t>Monitoring of privileged activities</t>
        </is>
      </c>
      <c r="F53" s="7" t="inlineStr">
        <is>
          <t>1. Verify all privileged activities are logged.
2. Check logs reviewed regularly (at least weekly).
3. Confirm anomalous privileged activities trigger alerts.
4. Verify log integrity (tamper-proof).</t>
        </is>
      </c>
      <c r="G53" s="7" t="inlineStr">
        <is>
          <t>Privileged activity logs; Log review schedule; Alerting rules; Log integrity controls</t>
        </is>
      </c>
      <c r="H53" s="7" t="inlineStr">
        <is>
          <t>Inspection</t>
        </is>
      </c>
      <c r="I53" s="7" t="inlineStr"/>
      <c r="J53" s="7" t="inlineStr"/>
      <c r="K53" s="7" t="inlineStr"/>
      <c r="L53" s="7" t="inlineStr"/>
      <c r="M53" s="7" t="inlineStr"/>
      <c r="N53" s="7" t="inlineStr"/>
    </row>
    <row r="54">
      <c r="A54" s="12" t="inlineStr">
        <is>
          <t>Item 2(d) — Data Integrity</t>
        </is>
      </c>
      <c r="B54" s="13" t="n"/>
      <c r="C54" s="13" t="n"/>
      <c r="D54" s="13" t="n"/>
      <c r="E54" s="13" t="n"/>
      <c r="F54" s="13" t="n"/>
      <c r="G54" s="13" t="n"/>
      <c r="H54" s="13" t="n"/>
      <c r="I54" s="13" t="n"/>
      <c r="J54" s="13" t="n"/>
      <c r="K54" s="13" t="n"/>
      <c r="L54" s="13" t="n"/>
      <c r="M54" s="13" t="n"/>
      <c r="N54" s="13" t="n"/>
    </row>
    <row r="55">
      <c r="A55" s="14" t="inlineStr">
        <is>
          <t>Data integrity controls prevent tampering and ensure confidentiality. Expect E2E encryption, defence-in-depth, pen testing, audit trails. Data integrity failure causes financial loss and regulatory breach.</t>
        </is>
      </c>
      <c r="B55" s="15" t="n"/>
      <c r="C55" s="15" t="n"/>
      <c r="D55" s="15" t="n"/>
      <c r="E55" s="15" t="n"/>
      <c r="F55" s="15" t="n"/>
      <c r="G55" s="15" t="n"/>
      <c r="H55" s="15" t="n"/>
      <c r="I55" s="15" t="n"/>
      <c r="J55" s="15" t="n"/>
      <c r="K55" s="15" t="n"/>
      <c r="L55" s="15" t="n"/>
      <c r="M55" s="15" t="n"/>
      <c r="N55" s="15" t="n"/>
    </row>
    <row r="56">
      <c r="A56" s="16" t="inlineStr">
        <is>
          <t>App7-D2(d)</t>
        </is>
      </c>
      <c r="B56" s="16" t="inlineStr">
        <is>
          <t>PD-10</t>
        </is>
      </c>
      <c r="C56" s="16" t="inlineStr">
        <is>
          <t>ORG</t>
        </is>
      </c>
      <c r="D56" s="16" t="inlineStr">
        <is>
          <t>Data Integrity</t>
        </is>
      </c>
      <c r="E56" s="16" t="inlineStr">
        <is>
          <t>End-to-end encryption, multi-layer security, SPOF avoidance, security assessment, and audit trails</t>
        </is>
      </c>
      <c r="F56" s="16" t="inlineStr"/>
      <c r="G56" s="16" t="inlineStr"/>
      <c r="H56" s="16" t="inlineStr"/>
      <c r="I56" s="16" t="inlineStr"/>
      <c r="J56" s="16" t="inlineStr"/>
      <c r="K56" s="16" t="inlineStr"/>
      <c r="L56" s="16" t="inlineStr"/>
      <c r="M56" s="17" t="inlineStr"/>
      <c r="N56" s="17" t="inlineStr"/>
    </row>
    <row r="57">
      <c r="A57" s="7" t="inlineStr">
        <is>
          <t>App7-D2(d)(i)</t>
        </is>
      </c>
      <c r="B57" s="7" t="inlineStr">
        <is>
          <t>PD-10.1</t>
        </is>
      </c>
      <c r="C57" s="7" t="inlineStr"/>
      <c r="D57" s="7" t="inlineStr"/>
      <c r="E57" s="7" t="inlineStr">
        <is>
          <t>End-to-end encryption and multi-layer security</t>
        </is>
      </c>
      <c r="F57" s="7" t="inlineStr">
        <is>
          <t>1. Verify E2E encryption for external communications.
2. Review multi-layer network security (defence-in-depth).
3. Confirm each layer independently managed.
4. Verify security devices current on firmware/signatures.</t>
        </is>
      </c>
      <c r="G57" s="7" t="inlineStr">
        <is>
          <t>Encryption architecture; Multi-layer security diagram; Security device inventory; Management and monitoring evidence</t>
        </is>
      </c>
      <c r="H57" s="7" t="inlineStr">
        <is>
          <t>Inspection</t>
        </is>
      </c>
      <c r="I57" s="7" t="inlineStr"/>
      <c r="J57" s="7" t="inlineStr"/>
      <c r="K57" s="7" t="inlineStr"/>
      <c r="L57" s="7" t="inlineStr"/>
      <c r="M57" s="7" t="inlineStr"/>
      <c r="N57" s="7" t="inlineStr"/>
    </row>
    <row r="58">
      <c r="A58" s="7" t="inlineStr">
        <is>
          <t>App7-D2(d)(ii)</t>
        </is>
      </c>
      <c r="B58" s="7" t="inlineStr">
        <is>
          <t>PD-10.2</t>
        </is>
      </c>
      <c r="C58" s="7" t="inlineStr"/>
      <c r="D58" s="7" t="inlineStr"/>
      <c r="E58" s="7" t="inlineStr">
        <is>
          <t>Absence of single points of failure</t>
        </is>
      </c>
      <c r="F58" s="7" t="inlineStr">
        <is>
          <t>1. Review network architecture for SPOF.
2. Verify redundancy at each critical layer.
3. Confirm failover tested within 12 months.
4. Check SPOF analysis documented.</t>
        </is>
      </c>
      <c r="G58" s="7" t="inlineStr">
        <is>
          <t>Network architecture with redundancy; SPOF analysis; Failover test results; SPOF review history</t>
        </is>
      </c>
      <c r="H58" s="7" t="inlineStr">
        <is>
          <t>Inspection</t>
        </is>
      </c>
      <c r="I58" s="7" t="inlineStr"/>
      <c r="J58" s="7" t="inlineStr"/>
      <c r="K58" s="7" t="inlineStr"/>
      <c r="L58" s="7" t="inlineStr"/>
      <c r="M58" s="7" t="inlineStr"/>
      <c r="N58" s="7" t="inlineStr"/>
    </row>
    <row r="59">
      <c r="A59" s="7" t="inlineStr">
        <is>
          <t>App7-D2(d)(iii)</t>
        </is>
      </c>
      <c r="B59" s="7" t="inlineStr">
        <is>
          <t>PD-10.3</t>
        </is>
      </c>
      <c r="C59" s="7" t="inlineStr"/>
      <c r="D59" s="7" t="inlineStr"/>
      <c r="E59" s="7" t="inlineStr">
        <is>
          <t>Security assessment and audit trails</t>
        </is>
      </c>
      <c r="F59" s="7" t="inlineStr">
        <is>
          <t>1. Obtain most recent pen test and network security assessment.
2. Verify testing by qualified party within 12 months.
3. Confirm vulnerabilities remediated or risk-accepted.
4. Verify audit trail capabilities.
5. Confirm logs tamper-protected and retained.</t>
        </is>
      </c>
      <c r="G59" s="7" t="inlineStr">
        <is>
          <t>Pen test report; Network security assessment; Audit trail config and sample logs; Log integrity controls</t>
        </is>
      </c>
      <c r="H59" s="7" t="inlineStr">
        <is>
          <t>Inspection</t>
        </is>
      </c>
      <c r="I59" s="7" t="inlineStr"/>
      <c r="J59" s="7" t="inlineStr"/>
      <c r="K59" s="7" t="inlineStr"/>
      <c r="L59" s="7" t="inlineStr"/>
      <c r="M59" s="7" t="inlineStr"/>
      <c r="N59" s="7" t="inlineStr"/>
    </row>
    <row r="60">
      <c r="A60" s="7" t="inlineStr">
        <is>
          <t>App7-D2(d)(iv)</t>
        </is>
      </c>
      <c r="B60" s="7" t="inlineStr">
        <is>
          <t>PD-10.4</t>
        </is>
      </c>
      <c r="C60" s="7" t="inlineStr"/>
      <c r="D60" s="7" t="inlineStr"/>
      <c r="E60" s="7" t="inlineStr">
        <is>
          <t>Data confidentiality and risk-based auth</t>
        </is>
      </c>
      <c r="F60" s="7" t="inlineStr">
        <is>
          <t>1. Verify confidentiality controls (encryption, masking, access controls).
2. Confirm data classification applied.
3. Verify risk-based step-up authentication.
4. Check customers receive timely transaction notifications.</t>
        </is>
      </c>
      <c r="G60" s="7" t="inlineStr">
        <is>
          <t>Data classification scheme; Encryption and masking config; Risk-based auth rules; Customer notification samples</t>
        </is>
      </c>
      <c r="H60" s="7" t="inlineStr">
        <is>
          <t>Inspection</t>
        </is>
      </c>
      <c r="I60" s="7" t="inlineStr"/>
      <c r="J60" s="7" t="inlineStr"/>
      <c r="K60" s="7" t="inlineStr"/>
      <c r="L60" s="7" t="inlineStr"/>
      <c r="M60" s="7" t="inlineStr"/>
      <c r="N60" s="7" t="inlineStr"/>
    </row>
    <row r="61">
      <c r="A61" s="7" t="inlineStr">
        <is>
          <t>App7-D2(d)(v)</t>
        </is>
      </c>
      <c r="B61" s="7" t="inlineStr">
        <is>
          <t>PD-10.5</t>
        </is>
      </c>
      <c r="C61" s="7" t="inlineStr"/>
      <c r="D61" s="7" t="inlineStr"/>
      <c r="E61" s="7" t="inlineStr">
        <is>
          <t>Data at rest protection</t>
        </is>
      </c>
      <c r="F61" s="7" t="inlineStr">
        <is>
          <t>1. Verify encryption at rest for databases, file systems, backups.
2. Check key management (rotation, access controls, HSM).
3. Verify data masking in non-production environments.
4. Confirm data disposal procedures.</t>
        </is>
      </c>
      <c r="G61" s="7" t="inlineStr">
        <is>
          <t>Encryption at rest config; Key management procedures; Data masking evidence; Data disposal procedures</t>
        </is>
      </c>
      <c r="H61" s="7" t="inlineStr">
        <is>
          <t>Inspection</t>
        </is>
      </c>
      <c r="I61" s="7" t="inlineStr"/>
      <c r="J61" s="7" t="inlineStr"/>
      <c r="K61" s="7" t="inlineStr"/>
      <c r="L61" s="7" t="inlineStr"/>
      <c r="M61" s="7" t="inlineStr"/>
      <c r="N61" s="7" t="inlineStr"/>
    </row>
    <row r="62">
      <c r="A62" s="7" t="inlineStr">
        <is>
          <t>App7-D2(d)(vi)</t>
        </is>
      </c>
      <c r="B62" s="7" t="inlineStr">
        <is>
          <t>PD-10.6</t>
        </is>
      </c>
      <c r="C62" s="7" t="inlineStr"/>
      <c r="D62" s="7" t="inlineStr"/>
      <c r="E62" s="7" t="inlineStr">
        <is>
          <t>Integrity monitoring and checksums</t>
        </is>
      </c>
      <c r="F62" s="7" t="inlineStr">
        <is>
          <t>1. Verify file integrity monitoring for critical system files.
2. Check database integrity controls (checksums, referential integrity).
3. Verify integrity checks in data transfer processes.
4. Confirm integrity violations trigger alerts.</t>
        </is>
      </c>
      <c r="G62" s="7" t="inlineStr">
        <is>
          <t>FIM config; Database integrity controls; Data transfer integrity checks; Integrity alert config</t>
        </is>
      </c>
      <c r="H62" s="7" t="inlineStr">
        <is>
          <t>Inspection</t>
        </is>
      </c>
      <c r="I62" s="7" t="inlineStr"/>
      <c r="J62" s="7" t="inlineStr"/>
      <c r="K62" s="7" t="inlineStr"/>
      <c r="L62" s="7" t="inlineStr"/>
      <c r="M62" s="7" t="inlineStr"/>
      <c r="N62" s="7" t="inlineStr"/>
    </row>
    <row r="63">
      <c r="A63" s="7" t="inlineStr">
        <is>
          <t>App7-D2(d)(vii)</t>
        </is>
      </c>
      <c r="B63" s="7" t="inlineStr">
        <is>
          <t>PD-10.7</t>
        </is>
      </c>
      <c r="C63" s="7" t="inlineStr"/>
      <c r="D63" s="7" t="inlineStr"/>
      <c r="E63" s="7" t="inlineStr">
        <is>
          <t>Data loss prevention</t>
        </is>
      </c>
      <c r="F63" s="7" t="inlineStr">
        <is>
          <t>1. Verify DLP controls for sensitive data.
2. Check DLP coverage (email, web, endpoint, cloud).
3. Review DLP policy rules and exceptions.
4. Sample DLP incidents (5 recent) — verify investigation.</t>
        </is>
      </c>
      <c r="G63" s="7" t="inlineStr">
        <is>
          <t>DLP policy and config; DLP coverage matrix; DLP incident samples; Investigation records</t>
        </is>
      </c>
      <c r="H63" s="7" t="inlineStr">
        <is>
          <t>Inspection</t>
        </is>
      </c>
      <c r="I63" s="7" t="inlineStr"/>
      <c r="J63" s="7" t="inlineStr"/>
      <c r="K63" s="7" t="inlineStr"/>
      <c r="L63" s="7" t="inlineStr"/>
      <c r="M63" s="7" t="inlineStr"/>
      <c r="N63" s="7" t="inlineStr"/>
    </row>
    <row r="64">
      <c r="A64" s="7" t="inlineStr">
        <is>
          <t>App7-D2(d)(viii)</t>
        </is>
      </c>
      <c r="B64" s="7" t="inlineStr">
        <is>
          <t>PD-10.8</t>
        </is>
      </c>
      <c r="C64" s="7" t="inlineStr"/>
      <c r="D64" s="7" t="inlineStr"/>
      <c r="E64" s="7" t="inlineStr">
        <is>
          <t>Backup integrity verification</t>
        </is>
      </c>
      <c r="F64" s="7" t="inlineStr">
        <is>
          <t>1. Verify backup integrity checks (checksum verification).
2. Confirm restore testing includes data integrity validation.
3. Check backup encryption and access controls.
4. Verify backup logs and monitoring.</t>
        </is>
      </c>
      <c r="G64" s="7" t="inlineStr">
        <is>
          <t>Backup integrity checks; Restore test with validation; Backup encryption config; Backup monitoring</t>
        </is>
      </c>
      <c r="H64" s="7" t="inlineStr">
        <is>
          <t>Inspection</t>
        </is>
      </c>
      <c r="I64" s="7" t="inlineStr"/>
      <c r="J64" s="7" t="inlineStr"/>
      <c r="K64" s="7" t="inlineStr"/>
      <c r="L64" s="7" t="inlineStr"/>
      <c r="M64" s="7" t="inlineStr"/>
      <c r="N64" s="7" t="inlineStr"/>
    </row>
    <row r="65">
      <c r="A65" s="12" t="inlineStr">
        <is>
          <t>Item 2(e) — Mobile Device Risks</t>
        </is>
      </c>
      <c r="B65" s="13" t="n"/>
      <c r="C65" s="13" t="n"/>
      <c r="D65" s="13" t="n"/>
      <c r="E65" s="13" t="n"/>
      <c r="F65" s="13" t="n"/>
      <c r="G65" s="13" t="n"/>
      <c r="H65" s="13" t="n"/>
      <c r="I65" s="13" t="n"/>
      <c r="J65" s="13" t="n"/>
      <c r="K65" s="13" t="n"/>
      <c r="L65" s="13" t="n"/>
      <c r="M65" s="13" t="n"/>
      <c r="N65" s="13" t="n"/>
    </row>
    <row r="66">
      <c r="A66" s="14" t="inlineStr">
        <is>
          <t>Mobile apps require additional protections due to the untrusted device environment. Expect jailbreak detection, secure storage, certificate pinning, fake app monitoring. Mobile-specific attacks bypass server-side controls.</t>
        </is>
      </c>
      <c r="B66" s="15" t="n"/>
      <c r="C66" s="15" t="n"/>
      <c r="D66" s="15" t="n"/>
      <c r="E66" s="15" t="n"/>
      <c r="F66" s="15" t="n"/>
      <c r="G66" s="15" t="n"/>
      <c r="H66" s="15" t="n"/>
      <c r="I66" s="15" t="n"/>
      <c r="J66" s="15" t="n"/>
      <c r="K66" s="15" t="n"/>
      <c r="L66" s="15" t="n"/>
      <c r="M66" s="15" t="n"/>
      <c r="N66" s="15" t="n"/>
    </row>
    <row r="67">
      <c r="A67" s="16" t="inlineStr">
        <is>
          <t>App7-D2(e)</t>
        </is>
      </c>
      <c r="B67" s="16" t="inlineStr">
        <is>
          <t>PD-11</t>
        </is>
      </c>
      <c r="C67" s="16" t="inlineStr">
        <is>
          <t>WORKLOAD</t>
        </is>
      </c>
      <c r="D67" s="16" t="inlineStr">
        <is>
          <t>Mobile Device Security</t>
        </is>
      </c>
      <c r="E67" s="16" t="inlineStr">
        <is>
          <t>Mobile app security baseline, data protection, transaction controls, and app distribution security</t>
        </is>
      </c>
      <c r="F67" s="16" t="inlineStr"/>
      <c r="G67" s="16" t="inlineStr"/>
      <c r="H67" s="16" t="inlineStr"/>
      <c r="I67" s="16" t="inlineStr"/>
      <c r="J67" s="16" t="inlineStr"/>
      <c r="K67" s="16" t="inlineStr"/>
      <c r="L67" s="16" t="inlineStr"/>
      <c r="M67" s="17" t="inlineStr"/>
      <c r="N67" s="17" t="inlineStr"/>
    </row>
    <row r="68">
      <c r="A68" s="7" t="inlineStr">
        <is>
          <t>App7-D2(e)(i)</t>
        </is>
      </c>
      <c r="B68" s="7" t="inlineStr">
        <is>
          <t>PD-11.1</t>
        </is>
      </c>
      <c r="C68" s="7" t="inlineStr"/>
      <c r="D68" s="7" t="inlineStr"/>
      <c r="E68" s="7" t="inlineStr">
        <is>
          <t>Mobile app security baseline</t>
        </is>
      </c>
      <c r="F68" s="7" t="inlineStr">
        <is>
          <t>1. Confirm minimum OS version enforced and jailbreak/root detection.
2. Review most recent mobile pen test.
3. Verify vulnerabilities remediated.
4. Confirm secure E2E communication (cert pinning, TLS 1.2+).</t>
        </is>
      </c>
      <c r="G68" s="7" t="inlineStr">
        <is>
          <t>OS version enforcement; Jailbreak/root detection; Mobile pen test report; Remediation evidence; Communication security config</t>
        </is>
      </c>
      <c r="H68" s="7" t="inlineStr">
        <is>
          <t>Inspection</t>
        </is>
      </c>
      <c r="I68" s="7" t="inlineStr"/>
      <c r="J68" s="7" t="inlineStr"/>
      <c r="K68" s="7" t="inlineStr"/>
      <c r="L68" s="7" t="inlineStr"/>
      <c r="M68" s="7" t="inlineStr"/>
      <c r="N68" s="7" t="inlineStr"/>
    </row>
    <row r="69">
      <c r="A69" s="7" t="inlineStr">
        <is>
          <t>App7-D2(e)(ii)</t>
        </is>
      </c>
      <c r="B69" s="7" t="inlineStr">
        <is>
          <t>PD-11.2</t>
        </is>
      </c>
      <c r="C69" s="7" t="inlineStr"/>
      <c r="D69" s="7" t="inlineStr"/>
      <c r="E69" s="7" t="inlineStr">
        <is>
          <t>Mobile data protection</t>
        </is>
      </c>
      <c r="F69" s="7" t="inlineStr">
        <is>
          <t>1. Verify sensitive data not stored on device or only in secure enclaves.
2. Confirm cache/logs sanitised.
3. Verify clipboard access restricted.
4. Check remote wipe capability.</t>
        </is>
      </c>
      <c r="G69" s="7" t="inlineStr">
        <is>
          <t>Mobile app security architecture; Data storage review; Secure enclave usage; Remote wipe documentation</t>
        </is>
      </c>
      <c r="H69" s="7" t="inlineStr">
        <is>
          <t>Inspection</t>
        </is>
      </c>
      <c r="I69" s="7" t="inlineStr"/>
      <c r="J69" s="7" t="inlineStr"/>
      <c r="K69" s="7" t="inlineStr"/>
      <c r="L69" s="7" t="inlineStr"/>
      <c r="M69" s="7" t="inlineStr"/>
      <c r="N69" s="7" t="inlineStr"/>
    </row>
    <row r="70">
      <c r="A70" s="7" t="inlineStr">
        <is>
          <t>App7-D2(e)(iii)</t>
        </is>
      </c>
      <c r="B70" s="7" t="inlineStr">
        <is>
          <t>PD-11.3</t>
        </is>
      </c>
      <c r="C70" s="7" t="inlineStr"/>
      <c r="D70" s="7" t="inlineStr"/>
      <c r="E70" s="7" t="inlineStr">
        <is>
          <t>Transaction notification and codes</t>
        </is>
      </c>
      <c r="F70" s="7" t="inlineStr">
        <is>
          <t>1. Verify transaction notifications (push, SMS, email).
2. Verify suspicious transaction alerts.
3. Confirm unique per-transaction codes (TAC, OTP).
4. Verify code expiry (2-5 min) and single-use.</t>
        </is>
      </c>
      <c r="G70" s="7" t="inlineStr">
        <is>
          <t>Transaction notification config; Suspicious alert rules; Code generation mechanism; Code expiry config</t>
        </is>
      </c>
      <c r="H70" s="7" t="inlineStr">
        <is>
          <t>Inspection</t>
        </is>
      </c>
      <c r="I70" s="7" t="inlineStr"/>
      <c r="J70" s="7" t="inlineStr"/>
      <c r="K70" s="7" t="inlineStr"/>
      <c r="L70" s="7" t="inlineStr"/>
      <c r="M70" s="7" t="inlineStr"/>
      <c r="N70" s="7" t="inlineStr"/>
    </row>
    <row r="71">
      <c r="A71" s="7" t="inlineStr">
        <is>
          <t>App7-D2(e)(iv)</t>
        </is>
      </c>
      <c r="B71" s="7" t="inlineStr">
        <is>
          <t>PD-11.4</t>
        </is>
      </c>
      <c r="C71" s="7" t="inlineStr"/>
      <c r="D71" s="7" t="inlineStr"/>
      <c r="E71" s="7" t="inlineStr">
        <is>
          <t>App distribution and fake app monitoring</t>
        </is>
      </c>
      <c r="F71" s="7" t="inlineStr">
        <is>
          <t>1. Verify publishing access controls.
2. Confirm monitoring for fake/fraudulent apps.
3. Verify takedown process exists and exercised.
4. Review fake app incident history.</t>
        </is>
      </c>
      <c r="G71" s="7" t="inlineStr">
        <is>
          <t>Publishing access controls; Fake app monitoring service; Takedown process docs; Fake app incident log</t>
        </is>
      </c>
      <c r="H71" s="7" t="inlineStr">
        <is>
          <t>Inspection</t>
        </is>
      </c>
      <c r="I71" s="7" t="inlineStr"/>
      <c r="J71" s="7" t="inlineStr"/>
      <c r="K71" s="7" t="inlineStr"/>
      <c r="L71" s="7" t="inlineStr"/>
      <c r="M71" s="7" t="inlineStr"/>
      <c r="N71" s="7" t="inlineStr"/>
    </row>
    <row r="72">
      <c r="A72" s="7" t="inlineStr">
        <is>
          <t>App7-D2(e)(v)</t>
        </is>
      </c>
      <c r="B72" s="7" t="inlineStr">
        <is>
          <t>PD-11.5</t>
        </is>
      </c>
      <c r="C72" s="7" t="inlineStr"/>
      <c r="D72" s="7" t="inlineStr"/>
      <c r="E72" s="7" t="inlineStr">
        <is>
          <t>Code obfuscation and anti-tampering</t>
        </is>
      </c>
      <c r="F72" s="7" t="inlineStr">
        <is>
          <t>1. Verify code obfuscation applied to mobile app binaries.
2. Check anti-tampering and anti-debugging protections.
3. Verify integrity checks on app launch.
4. Confirm RASP deployment.</t>
        </is>
      </c>
      <c r="G72" s="7" t="inlineStr">
        <is>
          <t>Obfuscation evidence; Anti-tampering config; Integrity check mechanism; RASP deployment</t>
        </is>
      </c>
      <c r="H72" s="7" t="inlineStr">
        <is>
          <t>Inspection</t>
        </is>
      </c>
      <c r="I72" s="7" t="inlineStr"/>
      <c r="J72" s="7" t="inlineStr"/>
      <c r="K72" s="7" t="inlineStr"/>
      <c r="L72" s="7" t="inlineStr"/>
      <c r="M72" s="7" t="inlineStr"/>
      <c r="N72" s="7" t="inlineStr"/>
    </row>
    <row r="73">
      <c r="A73" s="7" t="inlineStr">
        <is>
          <t>App7-D2(e)(vi)</t>
        </is>
      </c>
      <c r="B73" s="7" t="inlineStr">
        <is>
          <t>PD-11.6</t>
        </is>
      </c>
      <c r="C73" s="7" t="inlineStr"/>
      <c r="D73" s="7" t="inlineStr"/>
      <c r="E73" s="7" t="inlineStr">
        <is>
          <t>Secure SDK and third-party library management</t>
        </is>
      </c>
      <c r="F73" s="7" t="inlineStr">
        <is>
          <t>1. Inventory third-party SDKs and libraries in mobile app.
2. Verify SDKs from trusted sources with known vulnerabilities checked.
3. Check data sharing by SDKs is controlled.
4. Verify library update process.</t>
        </is>
      </c>
      <c r="G73" s="7" t="inlineStr">
        <is>
          <t>SDK/library inventory; Vulnerability assessment; Data sharing controls; Library update procedures</t>
        </is>
      </c>
      <c r="H73" s="7" t="inlineStr">
        <is>
          <t>Inspection</t>
        </is>
      </c>
      <c r="I73" s="7" t="inlineStr"/>
      <c r="J73" s="7" t="inlineStr"/>
      <c r="K73" s="7" t="inlineStr"/>
      <c r="L73" s="7" t="inlineStr"/>
      <c r="M73" s="7" t="inlineStr"/>
      <c r="N73" s="7" t="inlineStr"/>
    </row>
    <row r="74">
      <c r="A74" s="7" t="inlineStr">
        <is>
          <t>App7-D2(e)(vii)</t>
        </is>
      </c>
      <c r="B74" s="7" t="inlineStr">
        <is>
          <t>PD-11.7</t>
        </is>
      </c>
      <c r="C74" s="7" t="inlineStr"/>
      <c r="D74" s="7" t="inlineStr"/>
      <c r="E74" s="7" t="inlineStr">
        <is>
          <t>Biometric authentication on mobile</t>
        </is>
      </c>
      <c r="F74" s="7" t="inlineStr">
        <is>
          <t>1. Verify biometric authentication uses platform secure enclave.
2. Check fallback authentication mechanism.
3. Verify biometric data not stored by the app.
4. Confirm biometric enrollment verification.</t>
        </is>
      </c>
      <c r="G74" s="7" t="inlineStr">
        <is>
          <t>Biometric implementation; Secure enclave usage; Fallback mechanism; Enrollment verification process</t>
        </is>
      </c>
      <c r="H74" s="7" t="inlineStr">
        <is>
          <t>Inspection</t>
        </is>
      </c>
      <c r="I74" s="7" t="inlineStr"/>
      <c r="J74" s="7" t="inlineStr"/>
      <c r="K74" s="7" t="inlineStr"/>
      <c r="L74" s="7" t="inlineStr"/>
      <c r="M74" s="7" t="inlineStr"/>
      <c r="N74" s="7" t="inlineStr"/>
    </row>
    <row r="75">
      <c r="A75" s="7" t="inlineStr">
        <is>
          <t>App7-D2(e)(viii)</t>
        </is>
      </c>
      <c r="B75" s="7" t="inlineStr">
        <is>
          <t>PD-11.8</t>
        </is>
      </c>
      <c r="C75" s="7" t="inlineStr"/>
      <c r="D75" s="7" t="inlineStr"/>
      <c r="E75" s="7" t="inlineStr">
        <is>
          <t>Push notification security</t>
        </is>
      </c>
      <c r="F75" s="7" t="inlineStr">
        <is>
          <t>1. Verify push notifications do not contain sensitive data.
2. Check notification delivery uses secure channels.
3. Verify notification content is generic until authenticated.
4. Confirm user opt-out capability.</t>
        </is>
      </c>
      <c r="G75" s="7" t="inlineStr">
        <is>
          <t>Push notification policy; Notification content review; Delivery channel security; Opt-out mechanism</t>
        </is>
      </c>
      <c r="H75" s="7" t="inlineStr">
        <is>
          <t>Inspection</t>
        </is>
      </c>
      <c r="I75" s="7" t="inlineStr"/>
      <c r="J75" s="7" t="inlineStr"/>
      <c r="K75" s="7" t="inlineStr"/>
      <c r="L75" s="7" t="inlineStr"/>
      <c r="M75" s="7" t="inlineStr"/>
      <c r="N75" s="7" t="inlineStr"/>
    </row>
    <row r="76">
      <c r="A76" s="7" t="inlineStr">
        <is>
          <t>App7-D2(e)(ix)</t>
        </is>
      </c>
      <c r="B76" s="7" t="inlineStr">
        <is>
          <t>PD-11.9</t>
        </is>
      </c>
      <c r="C76" s="7" t="inlineStr"/>
      <c r="D76" s="7" t="inlineStr"/>
      <c r="E76" s="7" t="inlineStr">
        <is>
          <t>Device binding and registration</t>
        </is>
      </c>
      <c r="F76" s="7" t="inlineStr">
        <is>
          <t>1. Verify device binding mechanism.
2. Check device registration process requires authentication.
3. Verify device change triggers step-up verification.
4. Confirm maximum device limits enforced.</t>
        </is>
      </c>
      <c r="G76" s="7" t="inlineStr">
        <is>
          <t>Device binding mechanism; Registration flow; Device change alerts; Device limit config</t>
        </is>
      </c>
      <c r="H76" s="7" t="inlineStr">
        <is>
          <t>Inspection</t>
        </is>
      </c>
      <c r="I76" s="7" t="inlineStr"/>
      <c r="J76" s="7" t="inlineStr"/>
      <c r="K76" s="7" t="inlineStr"/>
      <c r="L76" s="7" t="inlineStr"/>
      <c r="M76" s="7" t="inlineStr"/>
      <c r="N76" s="7" t="inlineStr"/>
    </row>
    <row r="77">
      <c r="A77" s="7" t="inlineStr">
        <is>
          <t>App7-D2(e)(x)</t>
        </is>
      </c>
      <c r="B77" s="7" t="inlineStr">
        <is>
          <t>PD-11.10</t>
        </is>
      </c>
      <c r="C77" s="7" t="inlineStr"/>
      <c r="D77" s="7" t="inlineStr"/>
      <c r="E77" s="7" t="inlineStr">
        <is>
          <t>Secure communication channel</t>
        </is>
      </c>
      <c r="F77" s="7" t="inlineStr">
        <is>
          <t>1. Verify certificate pinning implemented.
2. Check for SSL/TLS downgrade protection.
3. Verify proxy detection.
4. Confirm mutual TLS where applicable.</t>
        </is>
      </c>
      <c r="G77" s="7" t="inlineStr">
        <is>
          <t>Certificate pinning config; Downgrade protection; Proxy detection mechanism; mTLS config</t>
        </is>
      </c>
      <c r="H77" s="7" t="inlineStr">
        <is>
          <t>Inspection</t>
        </is>
      </c>
      <c r="I77" s="7" t="inlineStr"/>
      <c r="J77" s="7" t="inlineStr"/>
      <c r="K77" s="7" t="inlineStr"/>
      <c r="L77" s="7" t="inlineStr"/>
      <c r="M77" s="7" t="inlineStr"/>
      <c r="N77" s="7" t="inlineStr"/>
    </row>
    <row r="78">
      <c r="A78" s="7" t="inlineStr">
        <is>
          <t>App7-D2(e)(xi)</t>
        </is>
      </c>
      <c r="B78" s="7" t="inlineStr">
        <is>
          <t>PD-11.11</t>
        </is>
      </c>
      <c r="C78" s="7" t="inlineStr"/>
      <c r="D78" s="7" t="inlineStr"/>
      <c r="E78" s="7" t="inlineStr">
        <is>
          <t>Mobile app update and versioning</t>
        </is>
      </c>
      <c r="F78" s="7" t="inlineStr">
        <is>
          <t>1. Verify forced update mechanism for critical security patches.
2. Check minimum supported app version policy.
3. Verify graceful degradation for unsupported versions.
4. Confirm update notification to users.</t>
        </is>
      </c>
      <c r="G78" s="7" t="inlineStr">
        <is>
          <t>Forced update mechanism; Minimum version policy; Degradation handling; Update notification config</t>
        </is>
      </c>
      <c r="H78" s="7" t="inlineStr">
        <is>
          <t>Inspection</t>
        </is>
      </c>
      <c r="I78" s="7" t="inlineStr"/>
      <c r="J78" s="7" t="inlineStr"/>
      <c r="K78" s="7" t="inlineStr"/>
      <c r="L78" s="7" t="inlineStr"/>
      <c r="M78" s="7" t="inlineStr"/>
      <c r="N78" s="7" t="inlineStr"/>
    </row>
  </sheetData>
  <mergeCells count="22">
    <mergeCell ref="A40:N40"/>
    <mergeCell ref="A48:N48"/>
    <mergeCell ref="A54:N54"/>
    <mergeCell ref="A7:N7"/>
    <mergeCell ref="A65:N65"/>
    <mergeCell ref="A41:N41"/>
    <mergeCell ref="A66:N66"/>
    <mergeCell ref="A18:N18"/>
    <mergeCell ref="A27:N27"/>
    <mergeCell ref="A3:N3"/>
    <mergeCell ref="A55:N55"/>
    <mergeCell ref="A12:N12"/>
    <mergeCell ref="A26:N26"/>
    <mergeCell ref="A21:N21"/>
    <mergeCell ref="A2:N2"/>
    <mergeCell ref="A33:N33"/>
    <mergeCell ref="A47:N47"/>
    <mergeCell ref="A32:N32"/>
    <mergeCell ref="A17:N17"/>
    <mergeCell ref="A8:N8"/>
    <mergeCell ref="A22:N22"/>
    <mergeCell ref="A13:N1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
  <sheetViews>
    <sheetView workbookViewId="0">
      <selection activeCell="A1" sqref="A1"/>
    </sheetView>
  </sheetViews>
  <sheetFormatPr baseColWidth="8" defaultRowHeight="15"/>
  <cols>
    <col width="8" customWidth="1" min="1" max="1"/>
    <col width="50" customWidth="1" min="2" max="2"/>
    <col width="20" customWidth="1" min="3" max="3"/>
    <col width="15" customWidth="1" min="4" max="4"/>
    <col width="30" customWidth="1" min="5" max="5"/>
  </cols>
  <sheetData>
    <row r="1">
      <c r="A1" s="1" t="inlineStr">
        <is>
          <t>REPORTING AND ATTESTATION CHECKLIST</t>
        </is>
      </c>
    </row>
    <row r="3">
      <c r="A3" s="9" t="inlineStr">
        <is>
          <t>Step</t>
        </is>
      </c>
      <c r="B3" s="9" t="inlineStr">
        <is>
          <t>Activity</t>
        </is>
      </c>
      <c r="C3" s="9" t="inlineStr">
        <is>
          <t>Responsible</t>
        </is>
      </c>
      <c r="D3" s="9" t="inlineStr">
        <is>
          <t>Status</t>
        </is>
      </c>
      <c r="E3" s="9" t="inlineStr">
        <is>
          <t>Notes</t>
        </is>
      </c>
    </row>
    <row r="4">
      <c r="A4" s="7" t="inlineStr">
        <is>
          <t>R-01</t>
        </is>
      </c>
      <c r="B4" s="7" t="inlineStr">
        <is>
          <t>Consolidate all test results — compile conclusions from all domain rows across assessment sheets</t>
        </is>
      </c>
      <c r="C4" s="7" t="inlineStr"/>
      <c r="D4" s="7" t="inlineStr"/>
      <c r="E4" s="7" t="inlineStr"/>
    </row>
    <row r="5">
      <c r="A5" s="7" t="inlineStr">
        <is>
          <t>R-02</t>
        </is>
      </c>
      <c r="B5" s="7" t="inlineStr">
        <is>
          <t>Assign risk ratings (High/Medium/Low) to each finding based on likelihood and impact</t>
        </is>
      </c>
      <c r="C5" s="7" t="inlineStr"/>
      <c r="D5" s="7" t="inlineStr"/>
      <c r="E5" s="7" t="inlineStr"/>
    </row>
    <row r="6">
      <c r="A6" s="7" t="inlineStr">
        <is>
          <t>R-03</t>
        </is>
      </c>
      <c r="B6" s="7" t="inlineStr">
        <is>
          <t>Map findings to specific regulatory references (Appendix clauses, Part D items)</t>
        </is>
      </c>
      <c r="C6" s="7" t="inlineStr"/>
      <c r="D6" s="7" t="inlineStr"/>
      <c r="E6" s="7" t="inlineStr"/>
    </row>
    <row r="7">
      <c r="A7" s="7" t="inlineStr">
        <is>
          <t>R-04</t>
        </is>
      </c>
      <c r="B7" s="7" t="inlineStr">
        <is>
          <t>Draft recommendations with specific remediation steps, responsible parties, and timelines</t>
        </is>
      </c>
      <c r="C7" s="7" t="inlineStr"/>
      <c r="D7" s="7" t="inlineStr"/>
      <c r="E7" s="7" t="inlineStr"/>
    </row>
    <row r="8">
      <c r="A8" s="7" t="inlineStr">
        <is>
          <t>R-05</t>
        </is>
      </c>
      <c r="B8" s="7" t="inlineStr">
        <is>
          <t>Distinguish must-fix-before-go-live findings from post-launch improvements (for pre-impl)</t>
        </is>
      </c>
      <c r="C8" s="7" t="inlineStr"/>
      <c r="D8" s="7" t="inlineStr"/>
      <c r="E8" s="7" t="inlineStr"/>
    </row>
    <row r="9">
      <c r="A9" s="7" t="inlineStr">
        <is>
          <t>R-06</t>
        </is>
      </c>
      <c r="B9" s="7" t="inlineStr">
        <is>
          <t>Conduct quality assurance / peer review of working papers and findings</t>
        </is>
      </c>
      <c r="C9" s="7" t="inlineStr"/>
      <c r="D9" s="7" t="inlineStr"/>
      <c r="E9" s="7" t="inlineStr"/>
    </row>
    <row r="10">
      <c r="A10" s="7" t="inlineStr">
        <is>
          <t>R-07</t>
        </is>
      </c>
      <c r="B10" s="7" t="inlineStr">
        <is>
          <t>Conduct findings walkthrough with FI management</t>
        </is>
      </c>
      <c r="C10" s="7" t="inlineStr"/>
      <c r="D10" s="7" t="inlineStr"/>
      <c r="E10" s="7" t="inlineStr"/>
    </row>
    <row r="11">
      <c r="A11" s="7" t="inlineStr">
        <is>
          <t>R-08</t>
        </is>
      </c>
      <c r="B11" s="7" t="inlineStr">
        <is>
          <t>Incorporate management responses and agreed action plans</t>
        </is>
      </c>
      <c r="C11" s="7" t="inlineStr"/>
      <c r="D11" s="7" t="inlineStr"/>
      <c r="E11" s="7" t="inlineStr"/>
    </row>
    <row r="12">
      <c r="A12" s="7" t="inlineStr">
        <is>
          <t>R-09</t>
        </is>
      </c>
      <c r="B12" s="7" t="inlineStr">
        <is>
          <t>Form Part C attestation opinion: Type A (Clean), Type B (With Exceptions), or Type C (Adverse)</t>
        </is>
      </c>
      <c r="C12" s="7" t="inlineStr"/>
      <c r="D12" s="7" t="inlineStr"/>
      <c r="E12" s="7" t="inlineStr"/>
    </row>
    <row r="13">
      <c r="A13" s="7" t="inlineStr">
        <is>
          <t>R-10</t>
        </is>
      </c>
      <c r="B13" s="7" t="inlineStr">
        <is>
          <t>Prepare the formal report in Appendix 7 Part A format</t>
        </is>
      </c>
      <c r="C13" s="7" t="inlineStr"/>
      <c r="D13" s="7" t="inlineStr"/>
      <c r="E13" s="7" t="inlineStr"/>
    </row>
    <row r="14">
      <c r="A14" s="7" t="inlineStr">
        <is>
          <t>R-11</t>
        </is>
      </c>
      <c r="B14" s="7" t="inlineStr">
        <is>
          <t>Confirm independence declaration and Part C compliance statement</t>
        </is>
      </c>
      <c r="C14" s="7" t="inlineStr"/>
      <c r="D14" s="7" t="inlineStr"/>
      <c r="E14" s="7" t="inlineStr"/>
    </row>
    <row r="15">
      <c r="A15" s="7" t="inlineStr">
        <is>
          <t>R-12</t>
        </is>
      </c>
      <c r="B15" s="7" t="inlineStr">
        <is>
          <t>Obtain FI management sign-off on report and management action plans</t>
        </is>
      </c>
      <c r="C15" s="7" t="inlineStr"/>
      <c r="D15" s="7" t="inlineStr"/>
      <c r="E15" s="7" t="inlineStr"/>
    </row>
    <row r="16">
      <c r="A16" s="7" t="inlineStr">
        <is>
          <t>R-13</t>
        </is>
      </c>
      <c r="B16" s="7" t="inlineStr">
        <is>
          <t>Prepare executive summary for designated board committee (per 8.3)</t>
        </is>
      </c>
      <c r="C16" s="7" t="inlineStr"/>
      <c r="D16" s="7" t="inlineStr"/>
      <c r="E16" s="7" t="inlineStr"/>
    </row>
    <row r="17">
      <c r="A17" s="7" t="inlineStr">
        <is>
          <t>R-14</t>
        </is>
      </c>
      <c r="B17" s="7" t="inlineStr">
        <is>
          <t>Attend board committee meeting to present findings (if required)</t>
        </is>
      </c>
      <c r="C17" s="7" t="inlineStr"/>
      <c r="D17" s="7" t="inlineStr"/>
      <c r="E17" s="7" t="inlineStr"/>
    </row>
    <row r="18">
      <c r="A18" s="7" t="inlineStr">
        <is>
          <t>R-15</t>
        </is>
      </c>
      <c r="B18" s="7" t="inlineStr">
        <is>
          <t>Document board committee directives and incorporate into final report</t>
        </is>
      </c>
      <c r="C18" s="7" t="inlineStr"/>
      <c r="D18" s="7" t="inlineStr"/>
      <c r="E18" s="7" t="inlineStr"/>
    </row>
    <row r="19">
      <c r="A19" s="7" t="inlineStr">
        <is>
          <t>R-16</t>
        </is>
      </c>
      <c r="B19" s="7" t="inlineStr">
        <is>
          <t>Issue final signed report</t>
        </is>
      </c>
      <c r="C19" s="7" t="inlineStr"/>
      <c r="D19" s="7" t="inlineStr"/>
      <c r="E19" s="7" t="inlineStr"/>
    </row>
  </sheetData>
  <mergeCells count="1">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20" customWidth="1" min="2" max="2"/>
    <col width="45" customWidth="1" min="3" max="3"/>
    <col width="40" customWidth="1" min="4" max="4"/>
    <col width="15" customWidth="1" min="5" max="5"/>
    <col width="30" customWidth="1" min="6" max="6"/>
  </cols>
  <sheetData>
    <row r="1">
      <c r="A1" s="1" t="inlineStr">
        <is>
          <t>APPENDIX 7 PART C — IESP SELF-ASSESSMENT</t>
        </is>
      </c>
    </row>
    <row r="2">
      <c r="A2" s="5" t="inlineStr">
        <is>
          <t>The IESP must comply with these 6 requirements. Complete this self-assessment before issuing the report.</t>
        </is>
      </c>
    </row>
    <row r="4">
      <c r="A4" s="9" t="inlineStr">
        <is>
          <t>#</t>
        </is>
      </c>
      <c r="B4" s="9" t="inlineStr">
        <is>
          <t>Requirement</t>
        </is>
      </c>
      <c r="C4" s="9" t="inlineStr">
        <is>
          <t>Assessment Criteria</t>
        </is>
      </c>
      <c r="D4" s="9" t="inlineStr">
        <is>
          <t>Evidence / Justification</t>
        </is>
      </c>
      <c r="E4" s="9" t="inlineStr">
        <is>
          <t>Compliant?</t>
        </is>
      </c>
      <c r="F4" s="9" t="inlineStr">
        <is>
          <t>Notes</t>
        </is>
      </c>
    </row>
    <row r="5">
      <c r="A5" s="7" t="inlineStr">
        <is>
          <t>1</t>
        </is>
      </c>
      <c r="B5" s="7" t="inlineStr">
        <is>
          <t>Independence</t>
        </is>
      </c>
      <c r="C5" s="7" t="inlineStr">
        <is>
          <t>The IESP is independent of the FI's technology operations and the systems/services being assessed. No conflicts of interest exist between the IESP and the FI.</t>
        </is>
      </c>
      <c r="D5" s="7" t="inlineStr"/>
      <c r="E5" s="7" t="inlineStr"/>
      <c r="F5" s="7" t="inlineStr"/>
    </row>
    <row r="6">
      <c r="A6" s="7" t="inlineStr">
        <is>
          <t>2</t>
        </is>
      </c>
      <c r="B6" s="7" t="inlineStr">
        <is>
          <t>Competence</t>
        </is>
      </c>
      <c r="C6" s="7" t="inlineStr">
        <is>
          <t>The IESP team has relevant professional qualifications (CISA, CISSP, CCSP, CSP-specific certs), certifications, and experience in the subject matter being assessed.</t>
        </is>
      </c>
      <c r="D6" s="7" t="inlineStr"/>
      <c r="E6" s="7" t="inlineStr"/>
      <c r="F6" s="7" t="inlineStr"/>
    </row>
    <row r="7">
      <c r="A7" s="7" t="inlineStr">
        <is>
          <t>3</t>
        </is>
      </c>
      <c r="B7" s="7" t="inlineStr">
        <is>
          <t>Scope</t>
        </is>
      </c>
      <c r="C7" s="7" t="inlineStr">
        <is>
          <t>The assessment covers ALL areas specified in the relevant appendix (Appendix 10, Appendix 9, or Part D as applicable). No required areas were excluded without documented justification.</t>
        </is>
      </c>
      <c r="D7" s="7" t="inlineStr"/>
      <c r="E7" s="7" t="inlineStr"/>
      <c r="F7" s="7" t="inlineStr"/>
    </row>
    <row r="8">
      <c r="A8" s="7" t="inlineStr">
        <is>
          <t>4</t>
        </is>
      </c>
      <c r="B8" s="7" t="inlineStr">
        <is>
          <t>Methodology</t>
        </is>
      </c>
      <c r="C8" s="7" t="inlineStr">
        <is>
          <t>The IESP uses a systematic, risk-based assessment methodology with clear criteria for evaluating controls. The methodology is documented and consistently applied.</t>
        </is>
      </c>
      <c r="D8" s="7" t="inlineStr"/>
      <c r="E8" s="7" t="inlineStr"/>
      <c r="F8" s="7" t="inlineStr"/>
    </row>
    <row r="9">
      <c r="A9" s="7" t="inlineStr">
        <is>
          <t>5</t>
        </is>
      </c>
      <c r="B9" s="7" t="inlineStr">
        <is>
          <t>Reporting</t>
        </is>
      </c>
      <c r="C9" s="7" t="inlineStr">
        <is>
          <t>Findings are reported in the Appendix 7 Part A format with clear risk ratings and actionable recommendations. The report is complete, accurate, and traceable to evidence.</t>
        </is>
      </c>
      <c r="D9" s="7" t="inlineStr"/>
      <c r="E9" s="7" t="inlineStr"/>
      <c r="F9" s="7" t="inlineStr"/>
    </row>
    <row r="10">
      <c r="A10" s="7" t="inlineStr">
        <is>
          <t>6</t>
        </is>
      </c>
      <c r="B10" s="7" t="inlineStr">
        <is>
          <t>Quality Assurance</t>
        </is>
      </c>
      <c r="C10" s="7" t="inlineStr">
        <is>
          <t>Internal QA processes were followed, including peer review of assessment work by a qualified reviewer who did not perform the assessment.</t>
        </is>
      </c>
      <c r="D10" s="7" t="inlineStr"/>
      <c r="E10" s="7" t="inlineStr"/>
      <c r="F10" s="7" t="inlineStr"/>
    </row>
    <row r="12">
      <c r="A12" s="2" t="inlineStr">
        <is>
          <t>SIGN-OFF</t>
        </is>
      </c>
    </row>
    <row r="13">
      <c r="A13" s="3" t="inlineStr">
        <is>
          <t>Lead Assessor:</t>
        </is>
      </c>
      <c r="B13" s="4" t="inlineStr">
        <is>
          <t>________________________</t>
        </is>
      </c>
      <c r="D13" s="3" t="inlineStr">
        <is>
          <t>Date:</t>
        </is>
      </c>
      <c r="E13" s="4" t="inlineStr">
        <is>
          <t>______________</t>
        </is>
      </c>
    </row>
    <row r="14">
      <c r="A14" s="3" t="inlineStr">
        <is>
          <t>Quality Reviewer:</t>
        </is>
      </c>
      <c r="B14" s="4" t="inlineStr">
        <is>
          <t>________________________</t>
        </is>
      </c>
      <c r="D14" s="3" t="inlineStr">
        <is>
          <t>Date:</t>
        </is>
      </c>
      <c r="E14" s="4" t="inlineStr">
        <is>
          <t>______________</t>
        </is>
      </c>
    </row>
  </sheetData>
  <mergeCells count="3">
    <mergeCell ref="A2:F2"/>
    <mergeCell ref="A1:F1"/>
    <mergeCell ref="A12:F1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9"/>
  <sheetViews>
    <sheetView workbookViewId="0">
      <selection activeCell="A1" sqref="A1"/>
    </sheetView>
  </sheetViews>
  <sheetFormatPr baseColWidth="8" defaultRowHeight="15"/>
  <cols>
    <col width="35" customWidth="1" min="1" max="1"/>
    <col width="16" customWidth="1" min="2" max="2"/>
    <col width="20" customWidth="1" min="3" max="3"/>
    <col width="18" customWidth="1" min="4" max="4"/>
    <col width="14" customWidth="1" min="5" max="5"/>
    <col width="16" customWidth="1" min="6" max="6"/>
    <col width="16" customWidth="1" min="7" max="7"/>
    <col width="18" customWidth="1" min="8" max="8"/>
  </cols>
  <sheetData>
    <row r="1">
      <c r="A1" s="1" t="inlineStr">
        <is>
          <t>SCORING DASHBOARD</t>
        </is>
      </c>
    </row>
    <row r="3">
      <c r="A3" s="8" t="inlineStr">
        <is>
          <t>Conclusions are at the DOMAIN level only (Ref pattern: XX-NN without a dot). Sub-item rows (XX-NN.N) have observations but no conclusion.</t>
        </is>
      </c>
    </row>
    <row r="5">
      <c r="A5" s="2" t="inlineStr">
        <is>
          <t>OVERALL SUMMARY</t>
        </is>
      </c>
    </row>
    <row r="6">
      <c r="A6" s="9" t="inlineStr">
        <is>
          <t>Metric</t>
        </is>
      </c>
      <c r="B6" s="9" t="inlineStr">
        <is>
          <t>Value</t>
        </is>
      </c>
    </row>
    <row r="7">
      <c r="A7" s="6" t="inlineStr">
        <is>
          <t>Total Compliant</t>
        </is>
      </c>
      <c r="B7" s="18">
        <f>SUM(B21:B22)</f>
        <v/>
      </c>
    </row>
    <row r="8">
      <c r="A8" s="6" t="inlineStr">
        <is>
          <t>Total Partially Compliant</t>
        </is>
      </c>
      <c r="B8" s="19">
        <f>SUM(C21:C22)</f>
        <v/>
      </c>
    </row>
    <row r="9">
      <c r="A9" s="6" t="inlineStr">
        <is>
          <t>Total Non-Compliant</t>
        </is>
      </c>
      <c r="B9" s="20">
        <f>SUM(D21:D22)</f>
        <v/>
      </c>
    </row>
    <row r="10">
      <c r="A10" s="6" t="inlineStr">
        <is>
          <t>Total N/A</t>
        </is>
      </c>
      <c r="B10" s="21">
        <f>SUM(E21:E22)</f>
        <v/>
      </c>
    </row>
    <row r="11">
      <c r="A11" s="6" t="inlineStr">
        <is>
          <t>Total Not Assessed</t>
        </is>
      </c>
      <c r="B11" s="10">
        <f>SUM(F21:F22)</f>
        <v/>
      </c>
    </row>
    <row r="12">
      <c r="A12" s="6" t="inlineStr">
        <is>
          <t>Total Control Domains</t>
        </is>
      </c>
      <c r="B12" s="10">
        <f>SUM(G21:G22)</f>
        <v/>
      </c>
    </row>
    <row r="13">
      <c r="A13" s="6" t="inlineStr">
        <is>
          <t>Overall Compliance %</t>
        </is>
      </c>
      <c r="B13" s="22">
        <f>IF((B12-B10-B11)=0,"—",B7/(B12-B10-B11))</f>
        <v/>
      </c>
    </row>
    <row r="15">
      <c r="A15" s="2" t="inlineStr">
        <is>
          <t>PART C OPINION INDICATOR</t>
        </is>
      </c>
    </row>
    <row r="16">
      <c r="A16" s="6" t="inlineStr">
        <is>
          <t>Opinion Type</t>
        </is>
      </c>
      <c r="B16" s="15">
        <f>IF(B9&gt;5,"Type C (Adverse)",IF(B9&gt;0,"Type B (With Exceptions)",IF(B8&lt;=3,"Type A (Clean)","Type B (With Exceptions)")))</f>
        <v/>
      </c>
    </row>
    <row r="17">
      <c r="A17" s="23" t="inlineStr">
        <is>
          <t>Criteria:</t>
        </is>
      </c>
      <c r="B17" s="14" t="inlineStr">
        <is>
          <t>Type A (Clean): NC=0 and PC&lt;=3  |  Type B (With Exceptions): NC&gt;0 and NC&lt;=5  |  Type C (Adverse): NC&gt;5</t>
        </is>
      </c>
    </row>
    <row r="19">
      <c r="A19" s="2" t="inlineStr">
        <is>
          <t>PER-SHEET BREAKDOWN</t>
        </is>
      </c>
    </row>
    <row r="20">
      <c r="A20" s="11" t="inlineStr">
        <is>
          <t>Sheet</t>
        </is>
      </c>
      <c r="B20" s="11" t="inlineStr">
        <is>
          <t>Compliant</t>
        </is>
      </c>
      <c r="C20" s="11" t="inlineStr">
        <is>
          <t>Partially Compliant</t>
        </is>
      </c>
      <c r="D20" s="11" t="inlineStr">
        <is>
          <t>Non-Compliant</t>
        </is>
      </c>
      <c r="E20" s="11" t="inlineStr">
        <is>
          <t>N/A</t>
        </is>
      </c>
      <c r="F20" s="11" t="inlineStr">
        <is>
          <t>Not Assessed</t>
        </is>
      </c>
      <c r="G20" s="11" t="inlineStr">
        <is>
          <t>Total Domains</t>
        </is>
      </c>
      <c r="H20" s="11" t="inlineStr">
        <is>
          <t>Compliance %</t>
        </is>
      </c>
    </row>
    <row r="21">
      <c r="A21" s="6" t="inlineStr">
        <is>
          <t>Appendix 9 - Assessment</t>
        </is>
      </c>
      <c r="B21" s="18">
        <f>COUNTIF('Appendix 9 - Assessment'!M:M,"Compliant")</f>
        <v/>
      </c>
      <c r="C21" s="19">
        <f>COUNTIF('Appendix 9 - Assessment'!M:M,"Partially Compliant")</f>
        <v/>
      </c>
      <c r="D21" s="20">
        <f>COUNTIF('Appendix 9 - Assessment'!M:M,"Non-Compliant")</f>
        <v/>
      </c>
      <c r="E21" s="21">
        <f>COUNTIF('Appendix 9 - Assessment'!M:M,"N/A")</f>
        <v/>
      </c>
      <c r="F21" s="10">
        <f>COUNTIFS('Appendix 9 - Assessment'!B:B,"&lt;&gt;",'Appendix 9 - Assessment'!C:C,"&lt;&gt;",'Appendix 9 - Assessment'!M:M,"=")-COUNTIF('Appendix 9 - Assessment'!B:B,"Ref")</f>
        <v/>
      </c>
      <c r="G21" s="10">
        <f>COUNTIFS('Appendix 9 - Assessment'!B:B,"&lt;&gt;",'Appendix 9 - Assessment'!C:C,"&lt;&gt;")-COUNTIF('Appendix 9 - Assessment'!B:B,"Ref")</f>
        <v/>
      </c>
      <c r="H21" s="22">
        <f>IF((G21-E21-F21)=0,"—",B21/(G21-E21-F21))</f>
        <v/>
      </c>
    </row>
    <row r="22">
      <c r="A22" s="6" t="inlineStr">
        <is>
          <t>Appendix 7 Part D</t>
        </is>
      </c>
      <c r="B22" s="18">
        <f>COUNTIF('Appendix 7 Part D'!M:M,"Compliant")</f>
        <v/>
      </c>
      <c r="C22" s="19">
        <f>COUNTIF('Appendix 7 Part D'!M:M,"Partially Compliant")</f>
        <v/>
      </c>
      <c r="D22" s="20">
        <f>COUNTIF('Appendix 7 Part D'!M:M,"Non-Compliant")</f>
        <v/>
      </c>
      <c r="E22" s="21">
        <f>COUNTIF('Appendix 7 Part D'!M:M,"N/A")</f>
        <v/>
      </c>
      <c r="F22" s="10">
        <f>COUNTIFS('Appendix 7 Part D'!B:B,"&lt;&gt;",'Appendix 7 Part D'!C:C,"&lt;&gt;",'Appendix 7 Part D'!M:M,"=")-COUNTIF('Appendix 7 Part D'!B:B,"Ref")</f>
        <v/>
      </c>
      <c r="G22" s="10">
        <f>COUNTIFS('Appendix 7 Part D'!B:B,"&lt;&gt;",'Appendix 7 Part D'!C:C,"&lt;&gt;")-COUNTIF('Appendix 7 Part D'!B:B,"Ref")</f>
        <v/>
      </c>
      <c r="H22" s="22">
        <f>IF((G22-E22-F22)=0,"—",B22/(G22-E22-F22))</f>
        <v/>
      </c>
    </row>
    <row r="25">
      <c r="A25" s="2" t="inlineStr">
        <is>
          <t>LEVEL BREAKDOWN</t>
        </is>
      </c>
    </row>
    <row r="26">
      <c r="A26" s="11" t="inlineStr">
        <is>
          <t>Level</t>
        </is>
      </c>
      <c r="B26" s="11" t="inlineStr">
        <is>
          <t>Compliant</t>
        </is>
      </c>
      <c r="C26" s="11" t="inlineStr">
        <is>
          <t>Partially Compliant</t>
        </is>
      </c>
      <c r="D26" s="11" t="inlineStr">
        <is>
          <t>Non-Compliant</t>
        </is>
      </c>
      <c r="E26" s="11" t="inlineStr">
        <is>
          <t>N/A</t>
        </is>
      </c>
      <c r="F26" s="11" t="inlineStr">
        <is>
          <t>Not Assessed</t>
        </is>
      </c>
      <c r="G26" s="11" t="inlineStr">
        <is>
          <t>Total</t>
        </is>
      </c>
      <c r="H26" s="11" t="inlineStr"/>
    </row>
    <row r="27">
      <c r="A27" s="6" t="inlineStr">
        <is>
          <t>ORG</t>
        </is>
      </c>
      <c r="B27" s="18">
        <f>COUNTIFS('Appendix 9 - Assessment'!C:C,"ORG",'Appendix 9 - Assessment'!M:M,"Compliant")+COUNTIFS('Appendix 7 Part D'!C:C,"ORG",'Appendix 7 Part D'!M:M,"Compliant")</f>
        <v/>
      </c>
      <c r="C27" s="19">
        <f>COUNTIFS('Appendix 9 - Assessment'!C:C,"ORG",'Appendix 9 - Assessment'!M:M,"Partially Compliant")+COUNTIFS('Appendix 7 Part D'!C:C,"ORG",'Appendix 7 Part D'!M:M,"Partially Compliant")</f>
        <v/>
      </c>
      <c r="D27" s="20">
        <f>COUNTIFS('Appendix 9 - Assessment'!C:C,"ORG",'Appendix 9 - Assessment'!M:M,"Non-Compliant")+COUNTIFS('Appendix 7 Part D'!C:C,"ORG",'Appendix 7 Part D'!M:M,"Non-Compliant")</f>
        <v/>
      </c>
      <c r="E27" s="21">
        <f>COUNTIFS('Appendix 9 - Assessment'!C:C,"ORG",'Appendix 9 - Assessment'!M:M,"N/A")+COUNTIFS('Appendix 7 Part D'!C:C,"ORG",'Appendix 7 Part D'!M:M,"N/A")</f>
        <v/>
      </c>
      <c r="F27" s="10">
        <f>COUNTIFS('Appendix 9 - Assessment'!C:C,"ORG",'Appendix 9 - Assessment'!M:M,"=")+COUNTIFS('Appendix 7 Part D'!C:C,"ORG",'Appendix 7 Part D'!M:M,"=")</f>
        <v/>
      </c>
      <c r="G27" s="10">
        <f>SUM(B27:F27)</f>
        <v/>
      </c>
    </row>
    <row r="28">
      <c r="A28" s="6" t="inlineStr">
        <is>
          <t>PLATFORM</t>
        </is>
      </c>
      <c r="B28" s="18">
        <f>COUNTIFS('Appendix 9 - Assessment'!C:C,"PLATFORM",'Appendix 9 - Assessment'!M:M,"Compliant")+COUNTIFS('Appendix 7 Part D'!C:C,"PLATFORM",'Appendix 7 Part D'!M:M,"Compliant")</f>
        <v/>
      </c>
      <c r="C28" s="19">
        <f>COUNTIFS('Appendix 9 - Assessment'!C:C,"PLATFORM",'Appendix 9 - Assessment'!M:M,"Partially Compliant")+COUNTIFS('Appendix 7 Part D'!C:C,"PLATFORM",'Appendix 7 Part D'!M:M,"Partially Compliant")</f>
        <v/>
      </c>
      <c r="D28" s="20">
        <f>COUNTIFS('Appendix 9 - Assessment'!C:C,"PLATFORM",'Appendix 9 - Assessment'!M:M,"Non-Compliant")+COUNTIFS('Appendix 7 Part D'!C:C,"PLATFORM",'Appendix 7 Part D'!M:M,"Non-Compliant")</f>
        <v/>
      </c>
      <c r="E28" s="21">
        <f>COUNTIFS('Appendix 9 - Assessment'!C:C,"PLATFORM",'Appendix 9 - Assessment'!M:M,"N/A")+COUNTIFS('Appendix 7 Part D'!C:C,"PLATFORM",'Appendix 7 Part D'!M:M,"N/A")</f>
        <v/>
      </c>
      <c r="F28" s="10">
        <f>COUNTIFS('Appendix 9 - Assessment'!C:C,"PLATFORM",'Appendix 9 - Assessment'!M:M,"=")+COUNTIFS('Appendix 7 Part D'!C:C,"PLATFORM",'Appendix 7 Part D'!M:M,"=")</f>
        <v/>
      </c>
      <c r="G28" s="10">
        <f>SUM(B28:F28)</f>
        <v/>
      </c>
    </row>
    <row r="29">
      <c r="A29" s="6" t="inlineStr">
        <is>
          <t>WORKLOAD</t>
        </is>
      </c>
      <c r="B29" s="18">
        <f>COUNTIFS('Appendix 9 - Assessment'!C:C,"WORKLOAD",'Appendix 9 - Assessment'!M:M,"Compliant")+COUNTIFS('Appendix 7 Part D'!C:C,"WORKLOAD",'Appendix 7 Part D'!M:M,"Compliant")</f>
        <v/>
      </c>
      <c r="C29" s="19">
        <f>COUNTIFS('Appendix 9 - Assessment'!C:C,"WORKLOAD",'Appendix 9 - Assessment'!M:M,"Partially Compliant")+COUNTIFS('Appendix 7 Part D'!C:C,"WORKLOAD",'Appendix 7 Part D'!M:M,"Partially Compliant")</f>
        <v/>
      </c>
      <c r="D29" s="20">
        <f>COUNTIFS('Appendix 9 - Assessment'!C:C,"WORKLOAD",'Appendix 9 - Assessment'!M:M,"Non-Compliant")+COUNTIFS('Appendix 7 Part D'!C:C,"WORKLOAD",'Appendix 7 Part D'!M:M,"Non-Compliant")</f>
        <v/>
      </c>
      <c r="E29" s="21">
        <f>COUNTIFS('Appendix 9 - Assessment'!C:C,"WORKLOAD",'Appendix 9 - Assessment'!M:M,"N/A")+COUNTIFS('Appendix 7 Part D'!C:C,"WORKLOAD",'Appendix 7 Part D'!M:M,"N/A")</f>
        <v/>
      </c>
      <c r="F29" s="10">
        <f>COUNTIFS('Appendix 9 - Assessment'!C:C,"WORKLOAD",'Appendix 9 - Assessment'!M:M,"=")+COUNTIFS('Appendix 7 Part D'!C:C,"WORKLOAD",'Appendix 7 Part D'!M:M,"=")</f>
        <v/>
      </c>
      <c r="G29" s="10">
        <f>SUM(B29:F29)</f>
        <v/>
      </c>
    </row>
  </sheetData>
  <mergeCells count="7">
    <mergeCell ref="A1:H1"/>
    <mergeCell ref="A3:H3"/>
    <mergeCell ref="B17:H17"/>
    <mergeCell ref="A15:B15"/>
    <mergeCell ref="A25:H25"/>
    <mergeCell ref="A19:H19"/>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2026-03-31T16:19:09Z</dcterms:created>
  <dcterms:modified xmlns:dcterms="http://purl.org/dc/terms/" xmlns:xsi="http://www.w3.org/2001/XMLSchema-instance" xsi:type="dcterms:W3CDTF">2026-03-31T16:19:09Z</dcterms:modified>
</cp:coreProperties>
</file>