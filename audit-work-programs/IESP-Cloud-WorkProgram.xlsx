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hodology &amp; Approach" sheetId="1" state="visible" r:id="rId1"/>
    <sheet xmlns:r="http://schemas.openxmlformats.org/officeDocument/2006/relationships" name="Scoping" sheetId="2" state="visible" r:id="rId2"/>
    <sheet xmlns:r="http://schemas.openxmlformats.org/officeDocument/2006/relationships" name="Planning" sheetId="3" state="visible" r:id="rId3"/>
    <sheet xmlns:r="http://schemas.openxmlformats.org/officeDocument/2006/relationships" name="App 10 Part A - Governance" sheetId="4" state="visible" r:id="rId4"/>
    <sheet xmlns:r="http://schemas.openxmlformats.org/officeDocument/2006/relationships" name="App 10 Part B - Controls" sheetId="5" state="visible" r:id="rId5"/>
    <sheet xmlns:r="http://schemas.openxmlformats.org/officeDocument/2006/relationships" name="Appendix 7 Part D" sheetId="6" state="visible" r:id="rId6"/>
    <sheet xmlns:r="http://schemas.openxmlformats.org/officeDocument/2006/relationships" name="Reporting &amp; Attestation" sheetId="7" state="visible" r:id="rId7"/>
    <sheet xmlns:r="http://schemas.openxmlformats.org/officeDocument/2006/relationships" name="Part C Self-Assessment" sheetId="8" state="visible" r:id="rId8"/>
    <sheet xmlns:r="http://schemas.openxmlformats.org/officeDocument/2006/relationships" name="Scoring Dashboard"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Calibri"/>
      <b val="1"/>
      <color rgb="002F5496"/>
      <sz val="14"/>
    </font>
    <font>
      <name val="Calibri"/>
      <b val="1"/>
      <color rgb="002F5496"/>
      <sz val="12"/>
    </font>
    <font>
      <name val="Calibri"/>
      <b val="1"/>
      <sz val="10"/>
    </font>
    <font>
      <name val="Calibri"/>
      <sz val="10"/>
    </font>
    <font>
      <name val="Calibri"/>
      <i val="1"/>
      <sz val="10"/>
    </font>
    <font>
      <name val="Calibri"/>
      <b val="1"/>
      <color rgb="00FFFFFF"/>
      <sz val="11"/>
    </font>
    <font>
      <name val="Calibri"/>
      <b val="1"/>
      <color rgb="002F5496"/>
      <sz val="11"/>
    </font>
  </fonts>
  <fills count="8">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2">
    <border>
      <left/>
      <right/>
      <top/>
      <bottom/>
      <diagonal/>
    </border>
    <border>
      <left style="thin"/>
      <right style="thin"/>
      <top style="thin"/>
      <bottom style="thin"/>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1" pivotButton="0" quotePrefix="0" xfId="0"/>
    <xf numFmtId="0" fontId="4" fillId="0" borderId="1" applyAlignment="1" pivotButton="0" quotePrefix="0" xfId="0">
      <alignment vertical="top" wrapText="1"/>
    </xf>
    <xf numFmtId="0" fontId="5" fillId="0" borderId="0" applyAlignment="1" pivotButton="0" quotePrefix="0" xfId="0">
      <alignment vertical="top" wrapText="1"/>
    </xf>
    <xf numFmtId="0" fontId="6" fillId="2" borderId="1" pivotButton="0" quotePrefix="0" xfId="0"/>
    <xf numFmtId="0" fontId="4" fillId="0" borderId="1" pivotButton="0" quotePrefix="0" xfId="0"/>
    <xf numFmtId="0" fontId="6" fillId="2" borderId="1" applyAlignment="1" pivotButton="0" quotePrefix="0" xfId="0">
      <alignment horizontal="center" vertical="top" wrapText="1"/>
    </xf>
    <xf numFmtId="0" fontId="7" fillId="3" borderId="1" pivotButton="0" quotePrefix="0" xfId="0"/>
    <xf numFmtId="0" fontId="0" fillId="3" borderId="1" pivotButton="0" quotePrefix="0" xfId="0"/>
    <xf numFmtId="0" fontId="5" fillId="0" borderId="1" applyAlignment="1" pivotButton="0" quotePrefix="0" xfId="0">
      <alignment vertical="top" wrapText="1"/>
    </xf>
    <xf numFmtId="0" fontId="0" fillId="0" borderId="1" pivotButton="0" quotePrefix="0" xfId="0"/>
    <xf numFmtId="0" fontId="4" fillId="4" borderId="1" pivotButton="0" quotePrefix="0" xfId="0"/>
    <xf numFmtId="0" fontId="4" fillId="5" borderId="1" pivotButton="0" quotePrefix="0" xfId="0"/>
    <xf numFmtId="0" fontId="4" fillId="6" borderId="1" pivotButton="0" quotePrefix="0" xfId="0"/>
    <xf numFmtId="0" fontId="4" fillId="7" borderId="1" pivotButton="0" quotePrefix="0" xfId="0"/>
    <xf numFmtId="164" fontId="4" fillId="0" borderId="1" pivotButton="0" quotePrefix="0" xfId="0"/>
    <xf numFmtId="0" fontId="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6"/>
  <sheetViews>
    <sheetView workbookViewId="0">
      <selection activeCell="A1" sqref="A1"/>
    </sheetView>
  </sheetViews>
  <sheetFormatPr baseColWidth="8" defaultRowHeight="15"/>
  <cols>
    <col width="25" customWidth="1" min="1" max="1"/>
    <col width="6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1">
      <c r="A1" s="1" t="inlineStr">
        <is>
          <t>INDEPENDENT ASSESSMENT — METHODOLOGY &amp; APPROACH</t>
        </is>
      </c>
    </row>
    <row r="2">
      <c r="A2" s="2" t="inlineStr">
        <is>
          <t>BNM RMiT IESP — Cloud Services Assessment</t>
        </is>
      </c>
    </row>
    <row r="4">
      <c r="A4" s="2" t="inlineStr">
        <is>
          <t>ENGAGEMENT DETAILS</t>
        </is>
      </c>
    </row>
    <row r="5">
      <c r="A5" s="3" t="inlineStr">
        <is>
          <t>Entity Name:</t>
        </is>
      </c>
      <c r="B5" s="4" t="inlineStr">
        <is>
          <t>[Entity Name]</t>
        </is>
      </c>
    </row>
    <row r="6">
      <c r="A6" s="3" t="inlineStr">
        <is>
          <t>Engagement Type:</t>
        </is>
      </c>
      <c r="B6" s="4" t="inlineStr">
        <is>
          <t>Cloud IESP Assessment (Pre-Implementation or Independent Attestation)</t>
        </is>
      </c>
    </row>
    <row r="7">
      <c r="A7" s="3" t="inlineStr">
        <is>
          <t>Regulatory Basis:</t>
        </is>
      </c>
      <c r="B7" s="4" t="inlineStr">
        <is>
          <t>Paragraph 17.1 / Appendix 7, mapped to Appendix 10</t>
        </is>
      </c>
    </row>
    <row r="8">
      <c r="A8" s="3" t="inlineStr">
        <is>
          <t>Assessment Date:</t>
        </is>
      </c>
      <c r="B8" s="4" t="inlineStr">
        <is>
          <t>[DD/MM/YYYY]</t>
        </is>
      </c>
    </row>
    <row r="9">
      <c r="A9" s="3" t="inlineStr">
        <is>
          <t>Assessment Period:</t>
        </is>
      </c>
      <c r="B9" s="4" t="inlineStr">
        <is>
          <t>[Start Date] to [End Date]</t>
        </is>
      </c>
    </row>
    <row r="10">
      <c r="A10" s="3" t="inlineStr">
        <is>
          <t>Lead Assessor:</t>
        </is>
      </c>
      <c r="B10" s="4" t="inlineStr">
        <is>
          <t>[Name, Qualification]</t>
        </is>
      </c>
    </row>
    <row r="11">
      <c r="A11" s="3" t="inlineStr">
        <is>
          <t>Engagement Reference:</t>
        </is>
      </c>
      <c r="B11" s="4" t="inlineStr">
        <is>
          <t>[Ref Number]</t>
        </is>
      </c>
    </row>
    <row r="12">
      <c r="A12" s="3" t="inlineStr">
        <is>
          <t>Report Classification:</t>
        </is>
      </c>
      <c r="B12" s="4" t="inlineStr">
        <is>
          <t>Confidential (Sulit)</t>
        </is>
      </c>
    </row>
    <row r="14">
      <c r="A14" s="2" t="inlineStr">
        <is>
          <t>SCOPE OF ASSESSMENT</t>
        </is>
      </c>
    </row>
    <row r="15">
      <c r="A15" s="5" t="inlineStr">
        <is>
          <t>This assessment is conducted pursuant to BNM RMiT (BNM/RH/PD 028-98, 28 Nov 2025), Appendix 7 and Appendix 10. Where the cloud deployment involves emerging technology (AI/ML, DLT, IoT, etc.), the IESP-EmergingTech-WorkProgram.xlsx (Appendix 9) must also be used in conjunction with this workbook.</t>
        </is>
      </c>
    </row>
    <row r="16">
      <c r="A16" s="5" t="inlineStr">
        <is>
          <t>Assessment covers: (1) Appendix 10 Part A — Cloud Governance (7 areas), (2) Appendix 10 Part B — Cloud Design and Control (14 areas), (3) Appendix 7 Part D — Minimum Controls.</t>
        </is>
      </c>
    </row>
    <row r="18">
      <c r="A18" s="2" t="inlineStr">
        <is>
          <t>ENGAGEMENT MODE</t>
        </is>
      </c>
    </row>
    <row r="19">
      <c r="A19" s="3" t="inlineStr">
        <is>
          <t>Design Adequacy (Pre-Implementation):</t>
        </is>
      </c>
    </row>
    <row r="20">
      <c r="A20" s="5" t="inlineStr">
        <is>
          <t>Assess whether proposed/planned controls are designed to meet the requirement. Evidence is primarily documentary: architecture designs, policies, vendor assessments, staging test results.</t>
        </is>
      </c>
    </row>
    <row r="21">
      <c r="A21" s="3" t="inlineStr">
        <is>
          <t>Operating Effectiveness (Independent Attestation):</t>
        </is>
      </c>
    </row>
    <row r="22">
      <c r="A22" s="5" t="inlineStr">
        <is>
          <t>Assess whether controls operated effectively during the assessment period. Evidence is observation, sampling, re-performance, system-generated logs. Requires defined sampling methodology.</t>
        </is>
      </c>
    </row>
    <row r="24">
      <c r="A24" s="2" t="inlineStr">
        <is>
          <t>ASSESSMENT LEVELS</t>
        </is>
      </c>
    </row>
    <row r="25">
      <c r="A25" s="3" t="inlineStr">
        <is>
          <t>ORG</t>
        </is>
      </c>
      <c r="B25" s="5" t="inlineStr">
        <is>
          <t>Organisation-level. Assessed once per engagement (policies, governance, frameworks).</t>
        </is>
      </c>
    </row>
    <row r="26">
      <c r="A26" s="3" t="inlineStr">
        <is>
          <t>PLATFORM</t>
        </is>
      </c>
      <c r="B26" s="5" t="inlineStr">
        <is>
          <t>Platform/CSP-level. Assessed per platform in scope (configurations, controls per CSP).</t>
        </is>
      </c>
    </row>
    <row r="27">
      <c r="A27" s="3" t="inlineStr">
        <is>
          <t>WORKLOAD</t>
        </is>
      </c>
      <c r="B27" s="5" t="inlineStr">
        <is>
          <t>System/application-level. Assessed per critical system using sampling.</t>
        </is>
      </c>
    </row>
    <row r="29">
      <c r="A29" s="2" t="inlineStr">
        <is>
          <t>ASSESSMENT METHODS</t>
        </is>
      </c>
    </row>
    <row r="30">
      <c r="A30" s="3" t="inlineStr">
        <is>
          <t>Inspection</t>
        </is>
      </c>
      <c r="B30" s="5" t="inlineStr">
        <is>
          <t>Examination of documents, records, policies, configurations, and tangible evidence.</t>
        </is>
      </c>
    </row>
    <row r="31">
      <c r="A31" s="3" t="inlineStr">
        <is>
          <t>Inquiry</t>
        </is>
      </c>
      <c r="B31" s="5" t="inlineStr">
        <is>
          <t>Interviews with management, process owners, and staff.</t>
        </is>
      </c>
    </row>
    <row r="32">
      <c r="A32" s="3" t="inlineStr">
        <is>
          <t>Observation</t>
        </is>
      </c>
      <c r="B32" s="5" t="inlineStr">
        <is>
          <t>Direct observation of processes, systems, and activities.</t>
        </is>
      </c>
    </row>
    <row r="33">
      <c r="A33" s="3" t="inlineStr">
        <is>
          <t>Confirmation</t>
        </is>
      </c>
      <c r="B33" s="5" t="inlineStr">
        <is>
          <t>Verification with external or independent parties.</t>
        </is>
      </c>
    </row>
    <row r="34">
      <c r="A34" s="3" t="inlineStr">
        <is>
          <t>Re-performance</t>
        </is>
      </c>
      <c r="B34" s="5" t="inlineStr">
        <is>
          <t>IESP independently re-performs the control procedure.</t>
        </is>
      </c>
    </row>
    <row r="36">
      <c r="A36" s="2" t="inlineStr">
        <is>
          <t>CONCLUSION SCALE</t>
        </is>
      </c>
    </row>
    <row r="37">
      <c r="A37" s="3" t="inlineStr">
        <is>
          <t>Compliant</t>
        </is>
      </c>
      <c r="B37" s="5" t="inlineStr">
        <is>
          <t>Control fully implemented and operating effectively. Evidence supports regulatory criteria are met.</t>
        </is>
      </c>
    </row>
    <row r="38">
      <c r="A38" s="3" t="inlineStr">
        <is>
          <t>Partially Compliant</t>
        </is>
      </c>
      <c r="B38" s="5" t="inlineStr">
        <is>
          <t>Implemented but with gaps in scope, coverage, documentation, or effectiveness.</t>
        </is>
      </c>
    </row>
    <row r="39">
      <c r="A39" s="3" t="inlineStr">
        <is>
          <t>Non-Compliant</t>
        </is>
      </c>
      <c r="B39" s="5" t="inlineStr">
        <is>
          <t>Absent, fundamentally deficient, or not operating. Regulatory criteria not met.</t>
        </is>
      </c>
    </row>
    <row r="40">
      <c r="A40" s="3" t="inlineStr">
        <is>
          <t>N/A</t>
        </is>
      </c>
      <c r="B40" s="5" t="inlineStr">
        <is>
          <t>Not applicable to entity's operations. Justification documented.</t>
        </is>
      </c>
    </row>
    <row r="42">
      <c r="A42" s="2" t="inlineStr">
        <is>
          <t>EVIDENCE HIERARCHY (prefer higher-ranked)</t>
        </is>
      </c>
    </row>
    <row r="43">
      <c r="A43" s="3" t="inlineStr">
        <is>
          <t>Rank 1</t>
        </is>
      </c>
      <c r="B43" s="4" t="inlineStr">
        <is>
          <t>Direct observation — IESP directly observes control in operation</t>
        </is>
      </c>
    </row>
    <row r="44">
      <c r="A44" s="3" t="inlineStr">
        <is>
          <t>Rank 2</t>
        </is>
      </c>
      <c r="B44" s="4" t="inlineStr">
        <is>
          <t>Independent confirmation — Third-party evidence (SOC 2, certifications)</t>
        </is>
      </c>
    </row>
    <row r="45">
      <c r="A45" s="3" t="inlineStr">
        <is>
          <t>Rank 3</t>
        </is>
      </c>
      <c r="B45" s="4" t="inlineStr">
        <is>
          <t>System-generated — Logs, configurations without manual intervention</t>
        </is>
      </c>
    </row>
    <row r="46">
      <c r="A46" s="3" t="inlineStr">
        <is>
          <t>Rank 4</t>
        </is>
      </c>
      <c r="B46" s="4" t="inlineStr">
        <is>
          <t>Re-performance — IESP re-performs control procedure</t>
        </is>
      </c>
    </row>
    <row r="47">
      <c r="A47" s="3" t="inlineStr">
        <is>
          <t>Rank 5</t>
        </is>
      </c>
      <c r="B47" s="4" t="inlineStr">
        <is>
          <t>Documentary — Policies, procedures, meeting minutes</t>
        </is>
      </c>
    </row>
    <row r="48">
      <c r="A48" s="3" t="inlineStr">
        <is>
          <t>Rank 6</t>
        </is>
      </c>
      <c r="B48" s="4" t="inlineStr">
        <is>
          <t>Inquiry — Verbal representations from FI personnel</t>
        </is>
      </c>
    </row>
    <row r="50">
      <c r="A50" s="2" t="inlineStr">
        <is>
          <t>SAMPLING METHODOLOGY</t>
        </is>
      </c>
    </row>
    <row r="51">
      <c r="A51" s="3" t="inlineStr">
        <is>
          <t>Sampling Approach:</t>
        </is>
      </c>
      <c r="B51" s="5" t="inlineStr">
        <is>
          <t>Judgmental (not statistical) — appropriate for limited assurance engagements under BNM RMiT. Sample sizes are based on population size and control risk tier.</t>
        </is>
      </c>
    </row>
    <row r="53">
      <c r="A53" s="3" t="inlineStr">
        <is>
          <t>Sample Size Table:</t>
        </is>
      </c>
    </row>
    <row r="54">
      <c r="A54" s="6" t="inlineStr">
        <is>
          <t>Population Size</t>
        </is>
      </c>
      <c r="B54" s="6" t="inlineStr">
        <is>
          <t>Standard Risk</t>
        </is>
      </c>
      <c r="C54" s="6" t="inlineStr">
        <is>
          <t>High Risk</t>
        </is>
      </c>
      <c r="D54" s="6" t="inlineStr">
        <is>
          <t>Rationale</t>
        </is>
      </c>
    </row>
    <row r="55">
      <c r="A55" s="7" t="inlineStr">
        <is>
          <t>1-5</t>
        </is>
      </c>
      <c r="B55" s="7" t="inlineStr">
        <is>
          <t>All</t>
        </is>
      </c>
      <c r="C55" s="7" t="inlineStr">
        <is>
          <t>All</t>
        </is>
      </c>
      <c r="D55" s="7" t="inlineStr">
        <is>
          <t>Full coverage feasible</t>
        </is>
      </c>
    </row>
    <row r="56">
      <c r="A56" s="7" t="inlineStr">
        <is>
          <t>6-15</t>
        </is>
      </c>
      <c r="B56" s="7" t="inlineStr">
        <is>
          <t>3</t>
        </is>
      </c>
      <c r="C56" s="7" t="inlineStr">
        <is>
          <t>5</t>
        </is>
      </c>
      <c r="D56" s="7" t="inlineStr">
        <is>
          <t>~25-40% coverage</t>
        </is>
      </c>
    </row>
    <row r="57">
      <c r="A57" s="7" t="inlineStr">
        <is>
          <t>16-50</t>
        </is>
      </c>
      <c r="B57" s="7" t="inlineStr">
        <is>
          <t>5</t>
        </is>
      </c>
      <c r="C57" s="7" t="inlineStr">
        <is>
          <t>8</t>
        </is>
      </c>
      <c r="D57" s="7" t="inlineStr">
        <is>
          <t>Sufficient for pattern detection</t>
        </is>
      </c>
    </row>
    <row r="58">
      <c r="A58" s="7" t="inlineStr">
        <is>
          <t>51-100</t>
        </is>
      </c>
      <c r="B58" s="7" t="inlineStr">
        <is>
          <t>8</t>
        </is>
      </c>
      <c r="C58" s="7" t="inlineStr">
        <is>
          <t>12</t>
        </is>
      </c>
      <c r="D58" s="7" t="inlineStr">
        <is>
          <t>Diminishing returns beyond this</t>
        </is>
      </c>
    </row>
    <row r="59">
      <c r="A59" s="7" t="inlineStr">
        <is>
          <t>100+</t>
        </is>
      </c>
      <c r="B59" s="7" t="inlineStr">
        <is>
          <t>10</t>
        </is>
      </c>
      <c r="C59" s="7" t="inlineStr">
        <is>
          <t>15</t>
        </is>
      </c>
      <c r="D59" s="7" t="inlineStr">
        <is>
          <t>Cap with stratification</t>
        </is>
      </c>
    </row>
    <row r="61">
      <c r="A61" s="3" t="inlineStr">
        <is>
          <t>Time-Based Evidence Coverage:</t>
        </is>
      </c>
    </row>
    <row r="62">
      <c r="A62" s="6" t="inlineStr">
        <is>
          <t>Evidence Type</t>
        </is>
      </c>
      <c r="B62" s="6" t="inlineStr">
        <is>
          <t>Coverage Period</t>
        </is>
      </c>
      <c r="C62" s="6" t="inlineStr">
        <is>
          <t>Rationale</t>
        </is>
      </c>
    </row>
    <row r="63">
      <c r="A63" s="7" t="inlineStr">
        <is>
          <t>Board/committee reports</t>
        </is>
      </c>
      <c r="B63" s="7" t="inlineStr">
        <is>
          <t>Last 4 quarters</t>
        </is>
      </c>
      <c r="C63" s="7" t="inlineStr">
        <is>
          <t>Full annual governance cycle</t>
        </is>
      </c>
    </row>
    <row r="64">
      <c r="A64" s="7" t="inlineStr">
        <is>
          <t>Operational records (incidents, changes, patches)</t>
        </is>
      </c>
      <c r="B64" s="7" t="inlineStr">
        <is>
          <t>Last 3-6 months</t>
        </is>
      </c>
      <c r="C64" s="7" t="inlineStr">
        <is>
          <t>Recent operating effectiveness</t>
        </is>
      </c>
    </row>
    <row r="65">
      <c r="A65" s="7" t="inlineStr">
        <is>
          <t>Annual processes (risk assessment, DR test, pen test)</t>
        </is>
      </c>
      <c r="B65" s="7" t="inlineStr">
        <is>
          <t>Last 12 months</t>
        </is>
      </c>
      <c r="C65" s="7" t="inlineStr">
        <is>
          <t>Full cycle</t>
        </is>
      </c>
    </row>
    <row r="66">
      <c r="A66" s="7" t="inlineStr">
        <is>
          <t>Continuous monitoring (SOC, logs, alerts)</t>
        </is>
      </c>
      <c r="B66" s="7" t="inlineStr">
        <is>
          <t>Last 30 days</t>
        </is>
      </c>
      <c r="C66" s="7" t="inlineStr">
        <is>
          <t>Current state verification</t>
        </is>
      </c>
    </row>
    <row r="67">
      <c r="A67" s="7" t="inlineStr">
        <is>
          <t>Policies and frameworks</t>
        </is>
      </c>
      <c r="B67" s="7" t="inlineStr">
        <is>
          <t>Current version + prior</t>
        </is>
      </c>
      <c r="C67" s="7" t="inlineStr">
        <is>
          <t>Change tracking</t>
        </is>
      </c>
    </row>
    <row r="69">
      <c r="A69" s="3" t="inlineStr">
        <is>
          <t>Control Risk Tiers:</t>
        </is>
      </c>
    </row>
    <row r="70">
      <c r="A70" s="6" t="inlineStr">
        <is>
          <t>Tier</t>
        </is>
      </c>
      <c r="B70" s="6" t="inlineStr">
        <is>
          <t>Controls</t>
        </is>
      </c>
      <c r="C70" s="6" t="inlineStr">
        <is>
          <t>Sampling Level</t>
        </is>
      </c>
    </row>
    <row r="71">
      <c r="A71" s="7" t="inlineStr">
        <is>
          <t>Critical</t>
        </is>
      </c>
      <c r="B71" s="7" t="inlineStr">
        <is>
          <t>Governance framework, SOC, incident response, regulatory notification, BCM, customer data protection</t>
        </is>
      </c>
      <c r="C71" s="7" t="inlineStr">
        <is>
          <t>High risk samples</t>
        </is>
      </c>
    </row>
    <row r="72">
      <c r="A72" s="7" t="inlineStr">
        <is>
          <t>Standard</t>
        </is>
      </c>
      <c r="B72" s="7" t="inlineStr">
        <is>
          <t>Most controls (risk assessment, vuln mgmt, vendor assessment, change mgmt, etc.)</t>
        </is>
      </c>
      <c r="C72" s="7" t="inlineStr">
        <is>
          <t>Standard risk samples</t>
        </is>
      </c>
    </row>
    <row r="73">
      <c r="A73" s="7" t="inlineStr">
        <is>
          <t>Conditional</t>
        </is>
      </c>
      <c r="B73" s="7" t="inlineStr">
        <is>
          <t>Emerging tech, specialised areas — may be N/A</t>
        </is>
      </c>
      <c r="C73" s="7" t="inlineStr">
        <is>
          <t>Standard if applicable</t>
        </is>
      </c>
    </row>
    <row r="75">
      <c r="A75" s="2" t="inlineStr">
        <is>
          <t>LIMITATIONS</t>
        </is>
      </c>
    </row>
    <row r="76">
      <c r="A76" s="5" t="inlineStr">
        <is>
          <t>1. Limited assurance engagement — conclusions based on procedures performed, not absolute assurance.</t>
        </is>
      </c>
    </row>
    <row r="77">
      <c r="A77" s="5" t="inlineStr">
        <is>
          <t>2. Point-in-time (design adequacy) or period assessment (operating effectiveness).</t>
        </is>
      </c>
    </row>
    <row r="78">
      <c r="A78" s="5" t="inlineStr">
        <is>
          <t>3. Reliance on management representations and documentation provided.</t>
        </is>
      </c>
    </row>
    <row r="79">
      <c r="A79" s="5" t="inlineStr">
        <is>
          <t>4. Scope guided by BNM RMiT (BNM/RH/PD 028-98, 28 Nov 2025).</t>
        </is>
      </c>
    </row>
    <row r="80">
      <c r="A80" s="5" t="inlineStr">
        <is>
          <t>5. Does not constitute legal or regulatory advice.</t>
        </is>
      </c>
    </row>
    <row r="81">
      <c r="A81" s="5" t="inlineStr">
        <is>
          <t>6. The IESP remains solely responsible for the sufficiency of work performed.</t>
        </is>
      </c>
    </row>
    <row r="83">
      <c r="A83" s="2" t="inlineStr">
        <is>
          <t>SIGN-OFF</t>
        </is>
      </c>
    </row>
    <row r="84">
      <c r="A84" s="3" t="inlineStr">
        <is>
          <t>Lead Assessor:</t>
        </is>
      </c>
      <c r="B84" s="4" t="inlineStr">
        <is>
          <t>________________________</t>
        </is>
      </c>
      <c r="F84" s="3" t="inlineStr">
        <is>
          <t>Date:</t>
        </is>
      </c>
      <c r="G84" s="4" t="inlineStr">
        <is>
          <t>______________</t>
        </is>
      </c>
    </row>
    <row r="85">
      <c r="A85" s="3" t="inlineStr">
        <is>
          <t>Quality Reviewer:</t>
        </is>
      </c>
      <c r="B85" s="4" t="inlineStr">
        <is>
          <t>________________________</t>
        </is>
      </c>
      <c r="F85" s="3" t="inlineStr">
        <is>
          <t>Date:</t>
        </is>
      </c>
      <c r="G85" s="4" t="inlineStr">
        <is>
          <t>______________</t>
        </is>
      </c>
    </row>
    <row r="86">
      <c r="A86" s="3" t="inlineStr">
        <is>
          <t>Entity Representative:</t>
        </is>
      </c>
      <c r="B86" s="4" t="inlineStr">
        <is>
          <t>________________________</t>
        </is>
      </c>
      <c r="F86" s="3" t="inlineStr">
        <is>
          <t>Date:</t>
        </is>
      </c>
      <c r="G86" s="4" t="inlineStr">
        <is>
          <t>______________</t>
        </is>
      </c>
    </row>
  </sheetData>
  <mergeCells count="25">
    <mergeCell ref="A76:M76"/>
    <mergeCell ref="A14:M14"/>
    <mergeCell ref="A22:M22"/>
    <mergeCell ref="A4:M4"/>
    <mergeCell ref="A29:M29"/>
    <mergeCell ref="A20:M20"/>
    <mergeCell ref="A81:M81"/>
    <mergeCell ref="A19:M19"/>
    <mergeCell ref="A77:M77"/>
    <mergeCell ref="A83:M83"/>
    <mergeCell ref="A15:M15"/>
    <mergeCell ref="A24:M24"/>
    <mergeCell ref="A36:M36"/>
    <mergeCell ref="A1:M1"/>
    <mergeCell ref="B51:M51"/>
    <mergeCell ref="A79:M79"/>
    <mergeCell ref="A78:M78"/>
    <mergeCell ref="A16:M16"/>
    <mergeCell ref="A80:M80"/>
    <mergeCell ref="A75:M75"/>
    <mergeCell ref="A18:M18"/>
    <mergeCell ref="A50:M50"/>
    <mergeCell ref="A21:M21"/>
    <mergeCell ref="A2:M2"/>
    <mergeCell ref="A42:M4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6" customWidth="1" min="1" max="1"/>
    <col width="30" customWidth="1" min="2" max="2"/>
    <col width="40" customWidth="1" min="3" max="3"/>
    <col width="20" customWidth="1" min="4" max="4"/>
    <col width="30" customWidth="1" min="5" max="5"/>
    <col width="20" customWidth="1" min="6" max="6"/>
  </cols>
  <sheetData>
    <row r="1">
      <c r="A1" s="1" t="inlineStr">
        <is>
          <t>ENGAGEMENT SCOPING — BNM RMiT IESP — Cloud Services Assessment</t>
        </is>
      </c>
    </row>
    <row r="3">
      <c r="A3" s="8" t="inlineStr">
        <is>
          <t>Note: Where the cloud deployment involves emerging technology (AI/ML, DLT, IoT, etc.), the IESP-EmergingTech-WorkProgram.xlsx (Appendix 9) must also be used in conjunction with this workbook.</t>
        </is>
      </c>
    </row>
    <row r="5">
      <c r="A5" s="2" t="inlineStr">
        <is>
          <t>ASSESSMENT LEVELS</t>
        </is>
      </c>
    </row>
    <row r="6">
      <c r="A6" s="3" t="inlineStr">
        <is>
          <t>ORG</t>
        </is>
      </c>
      <c r="B6" s="5" t="inlineStr">
        <is>
          <t>Organisation / Enterprise level. Assessed ONCE per engagement. Policies, frameworks, governance structures that apply across all platforms and systems.</t>
        </is>
      </c>
    </row>
    <row r="7">
      <c r="A7" s="3" t="inlineStr">
        <is>
          <t>PLATFORM</t>
        </is>
      </c>
      <c r="B7" s="5" t="inlineStr">
        <is>
          <t>Platform / CSP level. Assessed PER PLATFORM in scope. If the FI uses AWS and Azure, repeat these test steps for each. Covers platform-specific configurations and controls.</t>
        </is>
      </c>
    </row>
    <row r="8">
      <c r="A8" s="3" t="inlineStr">
        <is>
          <t>WORKLOAD</t>
        </is>
      </c>
      <c r="B8" s="5" t="inlineStr">
        <is>
          <t>Workload / Application / System level. Assessed PER CRITICAL SYSTEM in scope using sampling. Covers system-specific deployments, configurations, and arrangements.</t>
        </is>
      </c>
    </row>
    <row r="10">
      <c r="A10" s="2" t="inlineStr">
        <is>
          <t>PLATFORMS / CSPs IN SCOPE</t>
        </is>
      </c>
    </row>
    <row r="11">
      <c r="A11" s="9" t="inlineStr">
        <is>
          <t>#</t>
        </is>
      </c>
      <c r="B11" s="9" t="inlineStr">
        <is>
          <t>Platform / CSP</t>
        </is>
      </c>
      <c r="C11" s="9" t="inlineStr">
        <is>
          <t>Service Models (IaaS/PaaS/SaaS)</t>
        </is>
      </c>
      <c r="D11" s="9" t="inlineStr">
        <is>
          <t>Regions</t>
        </is>
      </c>
      <c r="E11" s="9" t="inlineStr">
        <is>
          <t>Contract Ref</t>
        </is>
      </c>
      <c r="F11" s="9" t="inlineStr">
        <is>
          <t>Notes</t>
        </is>
      </c>
    </row>
    <row r="12">
      <c r="A12" s="10" t="inlineStr">
        <is>
          <t>1</t>
        </is>
      </c>
      <c r="B12" s="10" t="inlineStr"/>
      <c r="C12" s="10" t="inlineStr"/>
      <c r="D12" s="10" t="inlineStr"/>
      <c r="E12" s="10" t="inlineStr"/>
      <c r="F12" s="10" t="inlineStr"/>
    </row>
    <row r="13">
      <c r="A13" s="10" t="inlineStr">
        <is>
          <t>2</t>
        </is>
      </c>
      <c r="B13" s="10" t="inlineStr"/>
      <c r="C13" s="10" t="inlineStr"/>
      <c r="D13" s="10" t="inlineStr"/>
      <c r="E13" s="10" t="inlineStr"/>
      <c r="F13" s="10" t="inlineStr"/>
    </row>
    <row r="14">
      <c r="A14" s="10" t="inlineStr">
        <is>
          <t>3</t>
        </is>
      </c>
      <c r="B14" s="10" t="inlineStr"/>
      <c r="C14" s="10" t="inlineStr"/>
      <c r="D14" s="10" t="inlineStr"/>
      <c r="E14" s="10" t="inlineStr"/>
      <c r="F14" s="10" t="inlineStr"/>
    </row>
    <row r="15">
      <c r="A15" s="10" t="inlineStr">
        <is>
          <t>4</t>
        </is>
      </c>
      <c r="B15" s="10" t="inlineStr"/>
      <c r="C15" s="10" t="inlineStr"/>
      <c r="D15" s="10" t="inlineStr"/>
      <c r="E15" s="10" t="inlineStr"/>
      <c r="F15" s="10" t="inlineStr"/>
    </row>
    <row r="16">
      <c r="A16" s="10" t="inlineStr">
        <is>
          <t>5</t>
        </is>
      </c>
      <c r="B16" s="10" t="inlineStr"/>
      <c r="C16" s="10" t="inlineStr"/>
      <c r="D16" s="10" t="inlineStr"/>
      <c r="E16" s="10" t="inlineStr"/>
      <c r="F16" s="10" t="inlineStr"/>
    </row>
    <row r="18">
      <c r="A18" s="2" t="inlineStr">
        <is>
          <t>CRITICAL SYSTEMS / WORKLOADS IN SCOPE</t>
        </is>
      </c>
    </row>
    <row r="19">
      <c r="A19" s="9" t="inlineStr">
        <is>
          <t>#</t>
        </is>
      </c>
      <c r="B19" s="9" t="inlineStr">
        <is>
          <t>System / Application Name</t>
        </is>
      </c>
      <c r="C19" s="9" t="inlineStr">
        <is>
          <t>Platform</t>
        </is>
      </c>
      <c r="D19" s="9" t="inlineStr">
        <is>
          <t>Criticality</t>
        </is>
      </c>
      <c r="E19" s="9" t="inlineStr">
        <is>
          <t>Data Classification</t>
        </is>
      </c>
      <c r="F19" s="9" t="inlineStr">
        <is>
          <t>Notes</t>
        </is>
      </c>
    </row>
    <row r="20">
      <c r="A20" s="10" t="inlineStr">
        <is>
          <t>1</t>
        </is>
      </c>
      <c r="B20" s="10" t="inlineStr"/>
      <c r="C20" s="10" t="inlineStr"/>
      <c r="D20" s="10" t="inlineStr"/>
      <c r="E20" s="10" t="inlineStr"/>
      <c r="F20" s="10" t="inlineStr"/>
    </row>
    <row r="21">
      <c r="A21" s="10" t="inlineStr">
        <is>
          <t>2</t>
        </is>
      </c>
      <c r="B21" s="10" t="inlineStr"/>
      <c r="C21" s="10" t="inlineStr"/>
      <c r="D21" s="10" t="inlineStr"/>
      <c r="E21" s="10" t="inlineStr"/>
      <c r="F21" s="10" t="inlineStr"/>
    </row>
    <row r="22">
      <c r="A22" s="10" t="inlineStr">
        <is>
          <t>3</t>
        </is>
      </c>
      <c r="B22" s="10" t="inlineStr"/>
      <c r="C22" s="10" t="inlineStr"/>
      <c r="D22" s="10" t="inlineStr"/>
      <c r="E22" s="10" t="inlineStr"/>
      <c r="F22" s="10" t="inlineStr"/>
    </row>
    <row r="23">
      <c r="A23" s="10" t="inlineStr">
        <is>
          <t>4</t>
        </is>
      </c>
      <c r="B23" s="10" t="inlineStr"/>
      <c r="C23" s="10" t="inlineStr"/>
      <c r="D23" s="10" t="inlineStr"/>
      <c r="E23" s="10" t="inlineStr"/>
      <c r="F23" s="10" t="inlineStr"/>
    </row>
    <row r="24">
      <c r="A24" s="10" t="inlineStr">
        <is>
          <t>5</t>
        </is>
      </c>
      <c r="B24" s="10" t="inlineStr"/>
      <c r="C24" s="10" t="inlineStr"/>
      <c r="D24" s="10" t="inlineStr"/>
      <c r="E24" s="10" t="inlineStr"/>
      <c r="F24" s="10" t="inlineStr"/>
    </row>
    <row r="25">
      <c r="A25" s="10" t="inlineStr">
        <is>
          <t>6</t>
        </is>
      </c>
      <c r="B25" s="10" t="inlineStr"/>
      <c r="C25" s="10" t="inlineStr"/>
      <c r="D25" s="10" t="inlineStr"/>
      <c r="E25" s="10" t="inlineStr"/>
      <c r="F25" s="10" t="inlineStr"/>
    </row>
    <row r="26">
      <c r="A26" s="10" t="inlineStr">
        <is>
          <t>7</t>
        </is>
      </c>
      <c r="B26" s="10" t="inlineStr"/>
      <c r="C26" s="10" t="inlineStr"/>
      <c r="D26" s="10" t="inlineStr"/>
      <c r="E26" s="10" t="inlineStr"/>
      <c r="F26" s="10" t="inlineStr"/>
    </row>
    <row r="27">
      <c r="A27" s="10" t="inlineStr">
        <is>
          <t>8</t>
        </is>
      </c>
      <c r="B27" s="10" t="inlineStr"/>
      <c r="C27" s="10" t="inlineStr"/>
      <c r="D27" s="10" t="inlineStr"/>
      <c r="E27" s="10" t="inlineStr"/>
      <c r="F27" s="10" t="inlineStr"/>
    </row>
    <row r="28">
      <c r="A28" s="10" t="inlineStr">
        <is>
          <t>9</t>
        </is>
      </c>
      <c r="B28" s="10" t="inlineStr"/>
      <c r="C28" s="10" t="inlineStr"/>
      <c r="D28" s="10" t="inlineStr"/>
      <c r="E28" s="10" t="inlineStr"/>
      <c r="F28" s="10" t="inlineStr"/>
    </row>
    <row r="29">
      <c r="A29" s="10" t="inlineStr">
        <is>
          <t>10</t>
        </is>
      </c>
      <c r="B29" s="10" t="inlineStr"/>
      <c r="C29" s="10" t="inlineStr"/>
      <c r="D29" s="10" t="inlineStr"/>
      <c r="E29" s="10" t="inlineStr"/>
      <c r="F29" s="10" t="inlineStr"/>
    </row>
    <row r="31">
      <c r="A31" s="2" t="inlineStr">
        <is>
          <t>SAMPLING APPROACH</t>
        </is>
      </c>
    </row>
    <row r="32">
      <c r="A32" s="3" t="inlineStr">
        <is>
          <t>Assessment Period:</t>
        </is>
      </c>
      <c r="B32" s="4" t="inlineStr">
        <is>
          <t>[Start Date] to [End Date]</t>
        </is>
      </c>
    </row>
    <row r="33">
      <c r="A33" s="3" t="inlineStr">
        <is>
          <t>User Access Samples:</t>
        </is>
      </c>
      <c r="B33" s="4" t="inlineStr">
        <is>
          <t>[e.g., 20 user accounts, 10 leavers/transfers]</t>
        </is>
      </c>
    </row>
    <row r="34">
      <c r="A34" s="3" t="inlineStr">
        <is>
          <t>Change Management Samples:</t>
        </is>
      </c>
      <c r="B34" s="4" t="inlineStr">
        <is>
          <t>[e.g., 10 recent changes]</t>
        </is>
      </c>
    </row>
    <row r="35">
      <c r="A35" s="3" t="inlineStr">
        <is>
          <t>Incident Samples:</t>
        </is>
      </c>
      <c r="B35" s="4" t="inlineStr">
        <is>
          <t>[e.g., 15 SOC alerts, all significant incidents in period]</t>
        </is>
      </c>
    </row>
    <row r="36">
      <c r="A36" s="3" t="inlineStr">
        <is>
          <t>Firewall Rule Samples:</t>
        </is>
      </c>
      <c r="B36" s="4" t="inlineStr">
        <is>
          <t>[e.g., 20 rules]</t>
        </is>
      </c>
    </row>
    <row r="37">
      <c r="A37" s="3" t="inlineStr">
        <is>
          <t>Configuration Samples:</t>
        </is>
      </c>
      <c r="B37" s="4" t="inlineStr">
        <is>
          <t>[e.g., 10 network devices]</t>
        </is>
      </c>
    </row>
  </sheetData>
  <mergeCells count="15">
    <mergeCell ref="B7:F7"/>
    <mergeCell ref="A10:F10"/>
    <mergeCell ref="B6:F6"/>
    <mergeCell ref="B32:F32"/>
    <mergeCell ref="B34:F34"/>
    <mergeCell ref="B33:F33"/>
    <mergeCell ref="A1:F1"/>
    <mergeCell ref="A5:F5"/>
    <mergeCell ref="A31:F31"/>
    <mergeCell ref="B37:F37"/>
    <mergeCell ref="A18:F18"/>
    <mergeCell ref="B36:F36"/>
    <mergeCell ref="B8:F8"/>
    <mergeCell ref="A3:F3"/>
    <mergeCell ref="B35:F3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8" customWidth="1" min="1" max="1"/>
    <col width="50" customWidth="1" min="2" max="2"/>
    <col width="20" customWidth="1" min="3" max="3"/>
    <col width="15" customWidth="1" min="4" max="4"/>
    <col width="30" customWidth="1" min="5" max="5"/>
  </cols>
  <sheetData>
    <row r="1">
      <c r="A1" s="1" t="inlineStr">
        <is>
          <t>PLANNING AND SCOPING CHECKLIST</t>
        </is>
      </c>
    </row>
    <row r="3">
      <c r="A3" s="9" t="inlineStr">
        <is>
          <t>Step</t>
        </is>
      </c>
      <c r="B3" s="9" t="inlineStr">
        <is>
          <t>Activity</t>
        </is>
      </c>
      <c r="C3" s="9" t="inlineStr">
        <is>
          <t>Responsible</t>
        </is>
      </c>
      <c r="D3" s="9" t="inlineStr">
        <is>
          <t>Status</t>
        </is>
      </c>
      <c r="E3" s="9" t="inlineStr">
        <is>
          <t>Notes</t>
        </is>
      </c>
    </row>
    <row r="4">
      <c r="A4" s="7" t="inlineStr">
        <is>
          <t>P-01</t>
        </is>
      </c>
      <c r="B4" s="7" t="inlineStr">
        <is>
          <t>Confirm engagement trigger and regulatory basis</t>
        </is>
      </c>
      <c r="C4" s="7" t="inlineStr"/>
      <c r="D4" s="7" t="inlineStr"/>
      <c r="E4" s="7" t="inlineStr"/>
    </row>
    <row r="5">
      <c r="A5" s="7" t="inlineStr">
        <is>
          <t>P-02</t>
        </is>
      </c>
      <c r="B5" s="7" t="inlineStr">
        <is>
          <t>Issue engagement letter with scope, timeline, and deliverables</t>
        </is>
      </c>
      <c r="C5" s="7" t="inlineStr"/>
      <c r="D5" s="7" t="inlineStr"/>
      <c r="E5" s="7" t="inlineStr"/>
    </row>
    <row r="6">
      <c r="A6" s="7" t="inlineStr">
        <is>
          <t>P-03</t>
        </is>
      </c>
      <c r="B6" s="7" t="inlineStr">
        <is>
          <t>Confirm IESP team qualifications and independence (Part C compliance)</t>
        </is>
      </c>
      <c r="C6" s="7" t="inlineStr"/>
      <c r="D6" s="7" t="inlineStr"/>
      <c r="E6" s="7" t="inlineStr"/>
    </row>
    <row r="7">
      <c r="A7" s="7" t="inlineStr">
        <is>
          <t>P-04</t>
        </is>
      </c>
      <c r="B7" s="7" t="inlineStr">
        <is>
          <t>Issue Document Request List (DRL) to the FI</t>
        </is>
      </c>
      <c r="C7" s="7" t="inlineStr"/>
      <c r="D7" s="7" t="inlineStr"/>
      <c r="E7" s="7" t="inlineStr"/>
    </row>
    <row r="8">
      <c r="A8" s="7" t="inlineStr">
        <is>
          <t>P-05</t>
        </is>
      </c>
      <c r="B8" s="7" t="inlineStr">
        <is>
          <t>Obtain and review prior assessment reports and remediation status</t>
        </is>
      </c>
      <c r="C8" s="7" t="inlineStr"/>
      <c r="D8" s="7" t="inlineStr"/>
      <c r="E8" s="7" t="inlineStr"/>
    </row>
    <row r="9">
      <c r="A9" s="7" t="inlineStr">
        <is>
          <t>P-06</t>
        </is>
      </c>
      <c r="B9" s="7" t="inlineStr">
        <is>
          <t>Identify platforms/CSPs in scope and complete scoping sheet</t>
        </is>
      </c>
      <c r="C9" s="7" t="inlineStr"/>
      <c r="D9" s="7" t="inlineStr"/>
      <c r="E9" s="7" t="inlineStr"/>
    </row>
    <row r="10">
      <c r="A10" s="7" t="inlineStr">
        <is>
          <t>P-07</t>
        </is>
      </c>
      <c r="B10" s="7" t="inlineStr">
        <is>
          <t>Identify critical systems/workloads in scope</t>
        </is>
      </c>
      <c r="C10" s="7" t="inlineStr"/>
      <c r="D10" s="7" t="inlineStr"/>
      <c r="E10" s="7" t="inlineStr"/>
    </row>
    <row r="11">
      <c r="A11" s="7" t="inlineStr">
        <is>
          <t>P-08</t>
        </is>
      </c>
      <c r="B11" s="7" t="inlineStr">
        <is>
          <t>Define assessment period and sampling approach</t>
        </is>
      </c>
      <c r="C11" s="7" t="inlineStr"/>
      <c r="D11" s="7" t="inlineStr"/>
      <c r="E11" s="7" t="inlineStr"/>
    </row>
    <row r="12">
      <c r="A12" s="7" t="inlineStr">
        <is>
          <t>P-09</t>
        </is>
      </c>
      <c r="B12" s="7" t="inlineStr">
        <is>
          <t>Determine engagement mode: design adequacy (pre-impl) or operating effectiveness (attestation)</t>
        </is>
      </c>
      <c r="C12" s="7" t="inlineStr"/>
      <c r="D12" s="7" t="inlineStr"/>
      <c r="E12" s="7" t="inlineStr"/>
    </row>
    <row r="13">
      <c r="A13" s="7" t="inlineStr">
        <is>
          <t>P-10</t>
        </is>
      </c>
      <c r="B13" s="7" t="inlineStr">
        <is>
          <t>Determine if higher-risk services criteria apply (customer data, cross-border)</t>
        </is>
      </c>
      <c r="C13" s="7" t="inlineStr"/>
      <c r="D13" s="7" t="inlineStr"/>
      <c r="E13" s="7" t="inlineStr"/>
    </row>
    <row r="14">
      <c r="A14" s="7" t="inlineStr">
        <is>
          <t>P-11</t>
        </is>
      </c>
      <c r="B14" s="7" t="inlineStr">
        <is>
          <t>Schedule site visits / remote assessment sessions</t>
        </is>
      </c>
      <c r="C14" s="7" t="inlineStr"/>
      <c r="D14" s="7" t="inlineStr"/>
      <c r="E14" s="7" t="inlineStr"/>
    </row>
    <row r="15">
      <c r="A15" s="7" t="inlineStr">
        <is>
          <t>P-12</t>
        </is>
      </c>
      <c r="B15" s="7" t="inlineStr">
        <is>
          <t>Conduct kick-off meeting with FI management</t>
        </is>
      </c>
      <c r="C15" s="7" t="inlineStr"/>
      <c r="D15" s="7" t="inlineStr"/>
      <c r="E15" s="7" t="inlineStr"/>
    </row>
    <row r="16">
      <c r="A16" s="7" t="inlineStr">
        <is>
          <t>P-13</t>
        </is>
      </c>
      <c r="B16" s="7" t="inlineStr">
        <is>
          <t>Receive and catalogue DRL responses</t>
        </is>
      </c>
      <c r="C16" s="7" t="inlineStr"/>
      <c r="D16" s="7" t="inlineStr"/>
      <c r="E16" s="7" t="inlineStr"/>
    </row>
    <row r="17">
      <c r="A17" s="7" t="inlineStr">
        <is>
          <t>P-14</t>
        </is>
      </c>
      <c r="B17" s="7" t="inlineStr">
        <is>
          <t>Finalise scoping memorandum</t>
        </is>
      </c>
      <c r="C17" s="7" t="inlineStr"/>
      <c r="D17" s="7" t="inlineStr"/>
      <c r="E17" s="7" t="inlineStr"/>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cols>
    <col width="10" customWidth="1" min="1" max="1"/>
    <col width="11" customWidth="1" min="2" max="2"/>
    <col width="20" customWidth="1" min="3" max="3"/>
    <col width="28" customWidth="1" min="4" max="4"/>
    <col width="50" customWidth="1" min="5" max="5"/>
    <col width="35" customWidth="1" min="6" max="6"/>
    <col width="14" customWidth="1" min="7" max="7"/>
    <col width="30" customWidth="1" min="8" max="8"/>
    <col width="25" customWidth="1" min="9" max="9"/>
    <col width="12" customWidth="1" min="10" max="10"/>
    <col width="30" customWidth="1" min="11" max="11"/>
    <col width="16" customWidth="1" min="12" max="12"/>
    <col width="30" customWidth="1" min="13" max="13"/>
  </cols>
  <sheetData>
    <row r="1">
      <c r="A1" s="11" t="inlineStr">
        <is>
          <t>Ref</t>
        </is>
      </c>
      <c r="B1" s="11" t="inlineStr">
        <is>
          <t>Level</t>
        </is>
      </c>
      <c r="C1" s="11" t="inlineStr">
        <is>
          <t>Control</t>
        </is>
      </c>
      <c r="D1" s="11" t="inlineStr">
        <is>
          <t>Sub-Procedure</t>
        </is>
      </c>
      <c r="E1" s="11" t="inlineStr">
        <is>
          <t>Assessment Procedures</t>
        </is>
      </c>
      <c r="F1" s="11" t="inlineStr">
        <is>
          <t>Expected Evidence</t>
        </is>
      </c>
      <c r="G1" s="11" t="inlineStr">
        <is>
          <t>Method</t>
        </is>
      </c>
      <c r="H1" s="11" t="inlineStr">
        <is>
          <t>Procedures Performed</t>
        </is>
      </c>
      <c r="I1" s="11" t="inlineStr">
        <is>
          <t>Evidence Obtained</t>
        </is>
      </c>
      <c r="J1" s="11" t="inlineStr">
        <is>
          <t>Evidence Ref</t>
        </is>
      </c>
      <c r="K1" s="11" t="inlineStr">
        <is>
          <t>Observation / Findings</t>
        </is>
      </c>
      <c r="L1" s="11" t="inlineStr">
        <is>
          <t>Conclusion</t>
        </is>
      </c>
      <c r="M1" s="11" t="inlineStr">
        <is>
          <t>Recommendations</t>
        </is>
      </c>
    </row>
    <row r="2">
      <c r="A2" s="12" t="inlineStr">
        <is>
          <t>A1 — Cloud Strategy</t>
        </is>
      </c>
      <c r="B2" s="13" t="n"/>
      <c r="C2" s="13" t="n"/>
      <c r="D2" s="13" t="n"/>
      <c r="E2" s="13" t="n"/>
      <c r="F2" s="13" t="n"/>
      <c r="G2" s="13" t="n"/>
      <c r="H2" s="13" t="n"/>
      <c r="I2" s="13" t="n"/>
      <c r="J2" s="13" t="n"/>
      <c r="K2" s="13" t="n"/>
      <c r="L2" s="13" t="n"/>
      <c r="M2" s="13" t="n"/>
    </row>
    <row r="3">
      <c r="A3" s="14" t="inlineStr">
        <is>
          <t>BNM expects the FI's cloud strategy to be board-approved and aligned with business strategy. Assessor should find a documented strategy with clear workload eligibility criteria. Without this, cloud adoption is ad hoc and uncontrolled.</t>
        </is>
      </c>
      <c r="B3" s="15" t="n"/>
      <c r="C3" s="15" t="n"/>
      <c r="D3" s="15" t="n"/>
      <c r="E3" s="15" t="n"/>
      <c r="F3" s="15" t="n"/>
      <c r="G3" s="15" t="n"/>
      <c r="H3" s="15" t="n"/>
      <c r="I3" s="15" t="n"/>
      <c r="J3" s="15" t="n"/>
      <c r="K3" s="15" t="n"/>
      <c r="L3" s="15" t="n"/>
      <c r="M3" s="15" t="n"/>
    </row>
    <row r="4">
      <c r="A4" s="7" t="inlineStr">
        <is>
          <t>CLD-01</t>
        </is>
      </c>
      <c r="B4" s="7" t="inlineStr">
        <is>
          <t>ORG</t>
        </is>
      </c>
      <c r="C4" s="7" t="inlineStr">
        <is>
          <t>Cloud Strategy</t>
        </is>
      </c>
      <c r="D4" s="7" t="inlineStr">
        <is>
          <t>Board-approved cloud strategy</t>
        </is>
      </c>
      <c r="E4" s="7" t="inlineStr">
        <is>
          <t>1. Obtain the FI's board-approved cloud strategy document.
2. Verify alignment with overall business and technology strategy.
3. Check that the strategy defines cloud-eligible vs non-eligible workloads.
4. Verify cloud-first, cloud-selective, or hybrid approach is defined and justified.
5. Check multi-cloud vs single-cloud considerations.
6. Verify regular review cycle (at least annual).</t>
        </is>
      </c>
      <c r="F4" s="7" t="inlineStr">
        <is>
          <t>Board-approved cloud strategy; Workload classification criteria; Cloud adoption roadmap; Strategy review records</t>
        </is>
      </c>
      <c r="G4" s="7" t="inlineStr">
        <is>
          <t>Inspection</t>
        </is>
      </c>
      <c r="H4" s="7" t="inlineStr"/>
      <c r="I4" s="7" t="inlineStr"/>
      <c r="J4" s="7" t="inlineStr"/>
      <c r="K4" s="7" t="inlineStr"/>
      <c r="L4" s="7" t="inlineStr"/>
      <c r="M4" s="7" t="inlineStr"/>
    </row>
    <row r="5">
      <c r="A5" s="12" t="inlineStr">
        <is>
          <t>A2 — Roles and Responsibilities</t>
        </is>
      </c>
      <c r="B5" s="13" t="n"/>
      <c r="C5" s="13" t="n"/>
      <c r="D5" s="13" t="n"/>
      <c r="E5" s="13" t="n"/>
      <c r="F5" s="13" t="n"/>
      <c r="G5" s="13" t="n"/>
      <c r="H5" s="13" t="n"/>
      <c r="I5" s="13" t="n"/>
      <c r="J5" s="13" t="n"/>
      <c r="K5" s="13" t="n"/>
      <c r="L5" s="13" t="n"/>
      <c r="M5" s="13" t="n"/>
    </row>
    <row r="6">
      <c r="A6" s="14" t="inlineStr">
        <is>
          <t>RMiT requires clear accountability for cloud operations, security, and governance. Expect a RACI matrix and documented shared responsibility model per CSP. Without defined roles, accountability gaps lead to control failures.</t>
        </is>
      </c>
      <c r="B6" s="15" t="n"/>
      <c r="C6" s="15" t="n"/>
      <c r="D6" s="15" t="n"/>
      <c r="E6" s="15" t="n"/>
      <c r="F6" s="15" t="n"/>
      <c r="G6" s="15" t="n"/>
      <c r="H6" s="15" t="n"/>
      <c r="I6" s="15" t="n"/>
      <c r="J6" s="15" t="n"/>
      <c r="K6" s="15" t="n"/>
      <c r="L6" s="15" t="n"/>
      <c r="M6" s="15" t="n"/>
    </row>
    <row r="7">
      <c r="A7" s="7" t="inlineStr">
        <is>
          <t>CLD-02</t>
        </is>
      </c>
      <c r="B7" s="7" t="inlineStr">
        <is>
          <t>ORG</t>
        </is>
      </c>
      <c r="C7" s="7" t="inlineStr">
        <is>
          <t>Roles &amp; Responsibilities</t>
        </is>
      </c>
      <c r="D7" s="7" t="inlineStr">
        <is>
          <t>RACI and shared responsibility model</t>
        </is>
      </c>
      <c r="E7" s="7" t="inlineStr">
        <is>
          <t>1. Obtain the cloud RACI matrix covering operations, security, and governance.
2. Verify cloud-specific roles are defined (cloud architect, cloud security engineer, cloud operations).
3. Check that the shared responsibility model with each CSP is documented and understood.
4. Verify escalation paths for cloud-related issues.
5. Check third-party management roles for cloud vendors.</t>
        </is>
      </c>
      <c r="F7" s="7" t="inlineStr">
        <is>
          <t>Cloud RACI matrix; Cloud role descriptions; Shared responsibility model per CSP; Org chart; Escalation procedures</t>
        </is>
      </c>
      <c r="G7" s="7" t="inlineStr">
        <is>
          <t>Inspection / Inquiry</t>
        </is>
      </c>
      <c r="H7" s="7" t="inlineStr"/>
      <c r="I7" s="7" t="inlineStr"/>
      <c r="J7" s="7" t="inlineStr"/>
      <c r="K7" s="7" t="inlineStr"/>
      <c r="L7" s="7" t="inlineStr"/>
      <c r="M7" s="7" t="inlineStr"/>
    </row>
    <row r="8">
      <c r="A8" s="12" t="inlineStr">
        <is>
          <t>A3 — Policies and Procedures</t>
        </is>
      </c>
      <c r="B8" s="13" t="n"/>
      <c r="C8" s="13" t="n"/>
      <c r="D8" s="13" t="n"/>
      <c r="E8" s="13" t="n"/>
      <c r="F8" s="13" t="n"/>
      <c r="G8" s="13" t="n"/>
      <c r="H8" s="13" t="n"/>
      <c r="I8" s="13" t="n"/>
      <c r="J8" s="13" t="n"/>
      <c r="K8" s="13" t="n"/>
      <c r="L8" s="13" t="n"/>
      <c r="M8" s="13" t="n"/>
    </row>
    <row r="9">
      <c r="A9" s="14" t="inlineStr">
        <is>
          <t>Cloud-specific policies operationalise the governance framework. Expect policies covering security, access, data, change, and incident response, communicated to staff. Without policies, controls lack a basis for enforcement.</t>
        </is>
      </c>
      <c r="B9" s="15" t="n"/>
      <c r="C9" s="15" t="n"/>
      <c r="D9" s="15" t="n"/>
      <c r="E9" s="15" t="n"/>
      <c r="F9" s="15" t="n"/>
      <c r="G9" s="15" t="n"/>
      <c r="H9" s="15" t="n"/>
      <c r="I9" s="15" t="n"/>
      <c r="J9" s="15" t="n"/>
      <c r="K9" s="15" t="n"/>
      <c r="L9" s="15" t="n"/>
      <c r="M9" s="15" t="n"/>
    </row>
    <row r="10">
      <c r="A10" s="7" t="inlineStr">
        <is>
          <t>CLD-03</t>
        </is>
      </c>
      <c r="B10" s="7" t="inlineStr">
        <is>
          <t>ORG</t>
        </is>
      </c>
      <c r="C10" s="7" t="inlineStr">
        <is>
          <t>Cloud Policy</t>
        </is>
      </c>
      <c r="D10" s="7" t="inlineStr">
        <is>
          <t>Cloud usage governance</t>
        </is>
      </c>
      <c r="E10" s="7" t="inlineStr">
        <is>
          <t>1. Obtain the FI's cloud usage/security policy.
2. Verify it covers: approved CSPs, service/deployment models, data classification requirements, security baselines, approval workflow.
3. Check the policy is communicated to stakeholders.
4. Sample 3 recent cloud adoptions and check adherence.</t>
        </is>
      </c>
      <c r="F10" s="7" t="inlineStr">
        <is>
          <t>Cloud usage policy; Communication/awareness records; Sample cloud adoption records</t>
        </is>
      </c>
      <c r="G10" s="7" t="inlineStr">
        <is>
          <t>Inspection</t>
        </is>
      </c>
      <c r="H10" s="7" t="inlineStr"/>
      <c r="I10" s="7" t="inlineStr"/>
      <c r="J10" s="7" t="inlineStr"/>
      <c r="K10" s="7" t="inlineStr"/>
      <c r="L10" s="7" t="inlineStr"/>
      <c r="M10" s="7" t="inlineStr"/>
    </row>
    <row r="11">
      <c r="A11" s="12" t="inlineStr">
        <is>
          <t>A4 — Risk Management</t>
        </is>
      </c>
      <c r="B11" s="13" t="n"/>
      <c r="C11" s="13" t="n"/>
      <c r="D11" s="13" t="n"/>
      <c r="E11" s="13" t="n"/>
      <c r="F11" s="13" t="n"/>
      <c r="G11" s="13" t="n"/>
      <c r="H11" s="13" t="n"/>
      <c r="I11" s="13" t="n"/>
      <c r="J11" s="13" t="n"/>
      <c r="K11" s="13" t="n"/>
      <c r="L11" s="13" t="n"/>
      <c r="M11" s="13" t="n"/>
    </row>
    <row r="12">
      <c r="A12" s="14" t="inlineStr">
        <is>
          <t>BNM requires cloud risk assessment per 10.50 and Appendix 10. Expect a maintained risk register with risks assessed per CSP/service, reviewed annually. Without cloud-specific risk assessment, risk decisions are uninformed.</t>
        </is>
      </c>
      <c r="B12" s="15" t="n"/>
      <c r="C12" s="15" t="n"/>
      <c r="D12" s="15" t="n"/>
      <c r="E12" s="15" t="n"/>
      <c r="F12" s="15" t="n"/>
      <c r="G12" s="15" t="n"/>
      <c r="H12" s="15" t="n"/>
      <c r="I12" s="15" t="n"/>
      <c r="J12" s="15" t="n"/>
      <c r="K12" s="15" t="n"/>
      <c r="L12" s="15" t="n"/>
      <c r="M12" s="15" t="n"/>
    </row>
    <row r="13">
      <c r="A13" s="7" t="inlineStr">
        <is>
          <t>CLD-04</t>
        </is>
      </c>
      <c r="B13" s="7" t="inlineStr">
        <is>
          <t>ORG</t>
        </is>
      </c>
      <c r="C13" s="7" t="inlineStr">
        <is>
          <t>Cloud Risk Management</t>
        </is>
      </c>
      <c r="D13" s="7" t="inlineStr">
        <is>
          <t>Cloud-specific risk assessment</t>
        </is>
      </c>
      <c r="E13" s="7" t="inlineStr">
        <is>
          <t>1. Obtain the FI's cloud risk assessment framework.
2. Verify it covers: data sovereignty, vendor lock-in, shared tenancy, supply chain, regulatory compliance.
3. Check risks are assessed per CSP and per service.
4. Verify risk assessment reviewed at least annually.</t>
        </is>
      </c>
      <c r="F13" s="7" t="inlineStr">
        <is>
          <t>Cloud risk assessment framework; Risk register (cloud section); Review/approval records</t>
        </is>
      </c>
      <c r="G13" s="7" t="inlineStr">
        <is>
          <t>Inspection</t>
        </is>
      </c>
      <c r="H13" s="7" t="inlineStr"/>
      <c r="I13" s="7" t="inlineStr"/>
      <c r="J13" s="7" t="inlineStr"/>
      <c r="K13" s="7" t="inlineStr"/>
      <c r="L13" s="7" t="inlineStr"/>
      <c r="M13" s="7" t="inlineStr"/>
    </row>
    <row r="14">
      <c r="A14" s="7" t="inlineStr">
        <is>
          <t>CLD-05</t>
        </is>
      </c>
      <c r="B14" s="7" t="inlineStr">
        <is>
          <t>ORG</t>
        </is>
      </c>
      <c r="C14" s="7" t="inlineStr">
        <is>
          <t>Cloud Risk Management</t>
        </is>
      </c>
      <c r="D14" s="7" t="inlineStr">
        <is>
          <t>Cloud risk appetite and tolerance</t>
        </is>
      </c>
      <c r="E14" s="7" t="inlineStr">
        <is>
          <t>1. Check the FI has defined what can/cannot be placed in cloud.
2. Verify data classification rules for cloud placement.
3. Confirm risk appetite approved by board or designated committee.</t>
        </is>
      </c>
      <c r="F14" s="7" t="inlineStr">
        <is>
          <t>Cloud risk appetite statement; Data classification-to-cloud mapping; Board/committee approval</t>
        </is>
      </c>
      <c r="G14" s="7" t="inlineStr">
        <is>
          <t>Inspection</t>
        </is>
      </c>
      <c r="H14" s="7" t="inlineStr"/>
      <c r="I14" s="7" t="inlineStr"/>
      <c r="J14" s="7" t="inlineStr"/>
      <c r="K14" s="7" t="inlineStr"/>
      <c r="L14" s="7" t="inlineStr"/>
      <c r="M14" s="7" t="inlineStr"/>
    </row>
    <row r="15">
      <c r="A15" s="12" t="inlineStr">
        <is>
          <t>A5 — Competency</t>
        </is>
      </c>
      <c r="B15" s="13" t="n"/>
      <c r="C15" s="13" t="n"/>
      <c r="D15" s="13" t="n"/>
      <c r="E15" s="13" t="n"/>
      <c r="F15" s="13" t="n"/>
      <c r="G15" s="13" t="n"/>
      <c r="H15" s="13" t="n"/>
      <c r="I15" s="13" t="n"/>
      <c r="J15" s="13" t="n"/>
      <c r="K15" s="13" t="n"/>
      <c r="L15" s="13" t="n"/>
      <c r="M15" s="13" t="n"/>
    </row>
    <row r="16">
      <c r="A16" s="14" t="inlineStr">
        <is>
          <t>RMiT requires the FI to independently assess cloud posture. Expect cloud certifications, training plans, and succession planning. Without skilled personnel, the FI cannot manage cloud risk independently.</t>
        </is>
      </c>
      <c r="B16" s="15" t="n"/>
      <c r="C16" s="15" t="n"/>
      <c r="D16" s="15" t="n"/>
      <c r="E16" s="15" t="n"/>
      <c r="F16" s="15" t="n"/>
      <c r="G16" s="15" t="n"/>
      <c r="H16" s="15" t="n"/>
      <c r="I16" s="15" t="n"/>
      <c r="J16" s="15" t="n"/>
      <c r="K16" s="15" t="n"/>
      <c r="L16" s="15" t="n"/>
      <c r="M16" s="15" t="n"/>
    </row>
    <row r="17">
      <c r="A17" s="7" t="inlineStr">
        <is>
          <t>CLD-06</t>
        </is>
      </c>
      <c r="B17" s="7" t="inlineStr">
        <is>
          <t>ORG</t>
        </is>
      </c>
      <c r="C17" s="7" t="inlineStr">
        <is>
          <t>Competency</t>
        </is>
      </c>
      <c r="D17" s="7" t="inlineStr">
        <is>
          <t>Cloud team capability</t>
        </is>
      </c>
      <c r="E17" s="7" t="inlineStr">
        <is>
          <t>1. Review cloud team structure, roles, and responsibilities.
2. Verify cloud certifications held by key personnel (AWS SAA/SAP, Azure AZ-500, GCP Professional, CCSP, CCSK).
3. Check training and development plan exists.
4. Assess whether the FI can independently assess CSP configurations.
5. Review succession planning for critical cloud roles.</t>
        </is>
      </c>
      <c r="F17" s="7" t="inlineStr">
        <is>
          <t>Cloud team org chart; Certification records; Training plan; Skills gap analysis; Succession plans</t>
        </is>
      </c>
      <c r="G17" s="7" t="inlineStr">
        <is>
          <t>Inspection / Inquiry</t>
        </is>
      </c>
      <c r="H17" s="7" t="inlineStr"/>
      <c r="I17" s="7" t="inlineStr"/>
      <c r="J17" s="7" t="inlineStr"/>
      <c r="K17" s="7" t="inlineStr"/>
      <c r="L17" s="7" t="inlineStr"/>
      <c r="M17" s="7" t="inlineStr"/>
    </row>
    <row r="18">
      <c r="A18" s="12" t="inlineStr">
        <is>
          <t>A6 — Compliance</t>
        </is>
      </c>
      <c r="B18" s="13" t="n"/>
      <c r="C18" s="13" t="n"/>
      <c r="D18" s="13" t="n"/>
      <c r="E18" s="13" t="n"/>
      <c r="F18" s="13" t="n"/>
      <c r="G18" s="13" t="n"/>
      <c r="H18" s="13" t="n"/>
      <c r="I18" s="13" t="n"/>
      <c r="J18" s="13" t="n"/>
      <c r="K18" s="13" t="n"/>
      <c r="L18" s="13" t="n"/>
      <c r="M18" s="13" t="n"/>
    </row>
    <row r="19">
      <c r="A19" s="14" t="inlineStr">
        <is>
          <t>Data residency, BNM access rights, and PDPA compliance are non-negotiable. Expect regulatory mapping and verified compliance controls. Non-compliance can result in regulatory action.</t>
        </is>
      </c>
      <c r="B19" s="15" t="n"/>
      <c r="C19" s="15" t="n"/>
      <c r="D19" s="15" t="n"/>
      <c r="E19" s="15" t="n"/>
      <c r="F19" s="15" t="n"/>
      <c r="G19" s="15" t="n"/>
      <c r="H19" s="15" t="n"/>
      <c r="I19" s="15" t="n"/>
      <c r="J19" s="15" t="n"/>
      <c r="K19" s="15" t="n"/>
      <c r="L19" s="15" t="n"/>
      <c r="M19" s="15" t="n"/>
    </row>
    <row r="20">
      <c r="A20" s="7" t="inlineStr">
        <is>
          <t>CLD-07</t>
        </is>
      </c>
      <c r="B20" s="7" t="inlineStr">
        <is>
          <t>ORG</t>
        </is>
      </c>
      <c r="C20" s="7" t="inlineStr">
        <is>
          <t>Compliance</t>
        </is>
      </c>
      <c r="D20" s="7" t="inlineStr">
        <is>
          <t>Regulatory mapping and compliance</t>
        </is>
      </c>
      <c r="E20" s="7" t="inlineStr">
        <is>
          <t>1. Obtain the FI's regulatory compliance mapping for cloud (RMiT, PDPA, sectoral guidelines).
2. Verify data residency requirements identified and addressed.
3. Check cross-border data transmission requirements assessed.
4. Verify BNM access rights to data and systems preserved contractually and technically.
5. Confirm audit access rights preserved in CSP contracts.
6. Check compliance monitoring and reporting in place.</t>
        </is>
      </c>
      <c r="F20" s="7" t="inlineStr">
        <is>
          <t>Regulatory compliance mapping; Data residency analysis; Cross-border data flow assessment; CSP contract provisions for regulatory/audit access; Compliance monitoring reports</t>
        </is>
      </c>
      <c r="G20" s="7" t="inlineStr">
        <is>
          <t>Inspection</t>
        </is>
      </c>
      <c r="H20" s="7" t="inlineStr"/>
      <c r="I20" s="7" t="inlineStr"/>
      <c r="J20" s="7" t="inlineStr"/>
      <c r="K20" s="7" t="inlineStr"/>
      <c r="L20" s="7" t="inlineStr"/>
      <c r="M20" s="7" t="inlineStr"/>
    </row>
    <row r="21">
      <c r="A21" s="12" t="inlineStr">
        <is>
          <t>A7 — Oversight</t>
        </is>
      </c>
      <c r="B21" s="13" t="n"/>
      <c r="C21" s="13" t="n"/>
      <c r="D21" s="13" t="n"/>
      <c r="E21" s="13" t="n"/>
      <c r="F21" s="13" t="n"/>
      <c r="G21" s="13" t="n"/>
      <c r="H21" s="13" t="n"/>
      <c r="I21" s="13" t="n"/>
      <c r="J21" s="13" t="n"/>
      <c r="K21" s="13" t="n"/>
      <c r="L21" s="13" t="n"/>
      <c r="M21" s="13" t="n"/>
    </row>
    <row r="22">
      <c r="A22" s="14" t="inlineStr">
        <is>
          <t>Board-level visibility into cloud risk is required. Expect KPI/KRI reporting, SLA monitoring, and internal audit coverage. Without oversight, emerging risks go undetected.</t>
        </is>
      </c>
      <c r="B22" s="15" t="n"/>
      <c r="C22" s="15" t="n"/>
      <c r="D22" s="15" t="n"/>
      <c r="E22" s="15" t="n"/>
      <c r="F22" s="15" t="n"/>
      <c r="G22" s="15" t="n"/>
      <c r="H22" s="15" t="n"/>
      <c r="I22" s="15" t="n"/>
      <c r="J22" s="15" t="n"/>
      <c r="K22" s="15" t="n"/>
      <c r="L22" s="15" t="n"/>
      <c r="M22" s="15" t="n"/>
    </row>
    <row r="23">
      <c r="A23" s="7" t="inlineStr">
        <is>
          <t>CLD-08</t>
        </is>
      </c>
      <c r="B23" s="7" t="inlineStr">
        <is>
          <t>ORG</t>
        </is>
      </c>
      <c r="C23" s="7" t="inlineStr">
        <is>
          <t>Oversight</t>
        </is>
      </c>
      <c r="D23" s="7" t="inlineStr">
        <is>
          <t>Cloud performance and oversight framework</t>
        </is>
      </c>
      <c r="E23" s="7" t="inlineStr">
        <is>
          <t>1. Review the FI's cloud performance monitoring framework (KPIs, KRIs).
2. Verify regular reporting to board/senior management on cloud operations.
3. Check CSP performance monitored against SLAs.
4. Verify internal audit coverage of cloud.
5. Check periodic review of cloud governance framework effectiveness.</t>
        </is>
      </c>
      <c r="F23" s="7" t="inlineStr">
        <is>
          <t>KPI/KRI definitions for cloud; Board/management reports; CSP SLA monitoring reports; Internal audit plan and reports; Governance framework review records</t>
        </is>
      </c>
      <c r="G23" s="7" t="inlineStr">
        <is>
          <t>Inspection</t>
        </is>
      </c>
      <c r="H23" s="7" t="inlineStr"/>
      <c r="I23" s="7" t="inlineStr"/>
      <c r="J23" s="7" t="inlineStr"/>
      <c r="K23" s="7" t="inlineStr"/>
      <c r="L23" s="7" t="inlineStr"/>
      <c r="M23" s="7" t="inlineStr"/>
    </row>
    <row r="24">
      <c r="A24" s="7" t="inlineStr">
        <is>
          <t>CLD-09</t>
        </is>
      </c>
      <c r="B24" s="7" t="inlineStr">
        <is>
          <t>PLATFORM</t>
        </is>
      </c>
      <c r="C24" s="7" t="inlineStr">
        <is>
          <t>Oversight</t>
        </is>
      </c>
      <c r="D24" s="7" t="inlineStr">
        <is>
          <t>CSP due diligence and certifications</t>
        </is>
      </c>
      <c r="E24" s="7" t="inlineStr">
        <is>
          <t>1. Obtain due diligence reports for each in-scope CSP covering: financial viability, security capabilities, regulatory compliance, data residency, subcontracting, BCP.
2. Obtain current SOC 2 Type II, ISO 27001, CSA STAR reports per CSP.
3. Verify reports cover services used by the FI.
4. Review exceptions or deficiencies in reports.
5. Verify CUECs identified in SOC reports are implemented.
6. Verify due diligence refreshed at least annually.</t>
        </is>
      </c>
      <c r="F24" s="7" t="inlineStr">
        <is>
          <t>Due diligence reports per CSP; SOC 2 Type II reports; ISO 27001 certificates; CSA STAR reports; FI review of findings; CUEC implementation evidence</t>
        </is>
      </c>
      <c r="G24" s="7" t="inlineStr">
        <is>
          <t>Inspection</t>
        </is>
      </c>
      <c r="H24" s="7" t="inlineStr"/>
      <c r="I24" s="7" t="inlineStr"/>
      <c r="J24" s="7" t="inlineStr"/>
      <c r="K24" s="7" t="inlineStr"/>
      <c r="L24" s="7" t="inlineStr"/>
      <c r="M24" s="7" t="inlineStr"/>
    </row>
    <row r="25">
      <c r="A25" s="7" t="inlineStr">
        <is>
          <t>CLD-10</t>
        </is>
      </c>
      <c r="B25" s="7" t="inlineStr">
        <is>
          <t>PLATFORM</t>
        </is>
      </c>
      <c r="C25" s="7" t="inlineStr">
        <is>
          <t>Oversight</t>
        </is>
      </c>
      <c r="D25" s="7" t="inlineStr">
        <is>
          <t>CSP contract management</t>
        </is>
      </c>
      <c r="E25" s="7" t="inlineStr">
        <is>
          <t>1. Review contracts with each in-scope CSP.
2. Check for: right to audit, data ownership/portability, data residency, breach notification, subcontracting controls, termination/exit provisions, BNM inspection access.
3. Verify contracts reviewed by legal and compliance.
4. Check ongoing CSP performance monitoring against SLAs.
5. Verify periodic service review meetings held.</t>
        </is>
      </c>
      <c r="F25" s="7" t="inlineStr">
        <is>
          <t>CSP contracts; Legal/compliance review records; Contract compliance checklist; SLA performance reports; Service review meeting minutes</t>
        </is>
      </c>
      <c r="G25" s="7" t="inlineStr">
        <is>
          <t>Inspection</t>
        </is>
      </c>
      <c r="H25" s="7" t="inlineStr"/>
      <c r="I25" s="7" t="inlineStr"/>
      <c r="J25" s="7" t="inlineStr"/>
      <c r="K25" s="7" t="inlineStr"/>
      <c r="L25" s="7" t="inlineStr"/>
      <c r="M25" s="7" t="inlineStr"/>
    </row>
  </sheetData>
  <mergeCells count="14">
    <mergeCell ref="A19:M19"/>
    <mergeCell ref="A5:M5"/>
    <mergeCell ref="A8:M8"/>
    <mergeCell ref="A6:M6"/>
    <mergeCell ref="A22:M22"/>
    <mergeCell ref="A9:M9"/>
    <mergeCell ref="A12:M12"/>
    <mergeCell ref="A18:M18"/>
    <mergeCell ref="A3:M3"/>
    <mergeCell ref="A21:M21"/>
    <mergeCell ref="A15:M15"/>
    <mergeCell ref="A16:M16"/>
    <mergeCell ref="A2:M2"/>
    <mergeCell ref="A11:M1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8"/>
  <sheetViews>
    <sheetView workbookViewId="0">
      <selection activeCell="A1" sqref="A1"/>
    </sheetView>
  </sheetViews>
  <sheetFormatPr baseColWidth="8" defaultRowHeight="15"/>
  <cols>
    <col width="10" customWidth="1" min="1" max="1"/>
    <col width="11" customWidth="1" min="2" max="2"/>
    <col width="20" customWidth="1" min="3" max="3"/>
    <col width="28" customWidth="1" min="4" max="4"/>
    <col width="50" customWidth="1" min="5" max="5"/>
    <col width="35" customWidth="1" min="6" max="6"/>
    <col width="14" customWidth="1" min="7" max="7"/>
    <col width="30" customWidth="1" min="8" max="8"/>
    <col width="25" customWidth="1" min="9" max="9"/>
    <col width="12" customWidth="1" min="10" max="10"/>
    <col width="30" customWidth="1" min="11" max="11"/>
    <col width="16" customWidth="1" min="12" max="12"/>
    <col width="30" customWidth="1" min="13" max="13"/>
  </cols>
  <sheetData>
    <row r="1">
      <c r="A1" s="11" t="inlineStr">
        <is>
          <t>Ref</t>
        </is>
      </c>
      <c r="B1" s="11" t="inlineStr">
        <is>
          <t>Level</t>
        </is>
      </c>
      <c r="C1" s="11" t="inlineStr">
        <is>
          <t>Control</t>
        </is>
      </c>
      <c r="D1" s="11" t="inlineStr">
        <is>
          <t>Sub-Procedure</t>
        </is>
      </c>
      <c r="E1" s="11" t="inlineStr">
        <is>
          <t>Assessment Procedures</t>
        </is>
      </c>
      <c r="F1" s="11" t="inlineStr">
        <is>
          <t>Expected Evidence</t>
        </is>
      </c>
      <c r="G1" s="11" t="inlineStr">
        <is>
          <t>Method</t>
        </is>
      </c>
      <c r="H1" s="11" t="inlineStr">
        <is>
          <t>Procedures Performed</t>
        </is>
      </c>
      <c r="I1" s="11" t="inlineStr">
        <is>
          <t>Evidence Obtained</t>
        </is>
      </c>
      <c r="J1" s="11" t="inlineStr">
        <is>
          <t>Evidence Ref</t>
        </is>
      </c>
      <c r="K1" s="11" t="inlineStr">
        <is>
          <t>Observation / Findings</t>
        </is>
      </c>
      <c r="L1" s="11" t="inlineStr">
        <is>
          <t>Conclusion</t>
        </is>
      </c>
      <c r="M1" s="11" t="inlineStr">
        <is>
          <t>Recommendations</t>
        </is>
      </c>
    </row>
    <row r="2">
      <c r="A2" s="12" t="inlineStr">
        <is>
          <t>B1 — Architecture Design</t>
        </is>
      </c>
      <c r="B2" s="13" t="n"/>
      <c r="C2" s="13" t="n"/>
      <c r="D2" s="13" t="n"/>
      <c r="E2" s="13" t="n"/>
      <c r="F2" s="13" t="n"/>
      <c r="G2" s="13" t="n"/>
      <c r="H2" s="13" t="n"/>
      <c r="I2" s="13" t="n"/>
      <c r="J2" s="13" t="n"/>
      <c r="K2" s="13" t="n"/>
      <c r="L2" s="13" t="n"/>
      <c r="M2" s="13" t="n"/>
    </row>
    <row r="3">
      <c r="A3" s="14" t="inlineStr">
        <is>
          <t>Cloud architecture must support resilience and security. Expect multi-AZ for critical workloads, well-architected review, proper network segmentation. Poor architecture creates systemic risk.</t>
        </is>
      </c>
      <c r="B3" s="15" t="n"/>
      <c r="C3" s="15" t="n"/>
      <c r="D3" s="15" t="n"/>
      <c r="E3" s="15" t="n"/>
      <c r="F3" s="15" t="n"/>
      <c r="G3" s="15" t="n"/>
      <c r="H3" s="15" t="n"/>
      <c r="I3" s="15" t="n"/>
      <c r="J3" s="15" t="n"/>
      <c r="K3" s="15" t="n"/>
      <c r="L3" s="15" t="n"/>
      <c r="M3" s="15" t="n"/>
    </row>
    <row r="4">
      <c r="A4" s="7" t="inlineStr">
        <is>
          <t>CLD-11</t>
        </is>
      </c>
      <c r="B4" s="7" t="inlineStr">
        <is>
          <t>PLATFORM</t>
        </is>
      </c>
      <c r="C4" s="7" t="inlineStr">
        <is>
          <t>Architecture</t>
        </is>
      </c>
      <c r="D4" s="7" t="inlineStr">
        <is>
          <t>Cloud architecture design</t>
        </is>
      </c>
      <c r="E4" s="7" t="inlineStr">
        <is>
          <t>1. Obtain cloud architecture design documents and diagrams.
2. Verify multi-AZ or multi-region deployment for critical workloads.
3. Check architecture follows well-architected framework principles.
4. Verify network architecture (VPC/VNET design, subnet segmentation, security groups, NACLs).
5. Confirm architecture reviewed by qualified cloud architects.
6. Verify landing zone / account structure design.</t>
        </is>
      </c>
      <c r="F4" s="7" t="inlineStr">
        <is>
          <t>Cloud architecture docs; Multi-AZ/region deployment evidence; Well-architected review; VPC/VNET design; Landing zone documentation</t>
        </is>
      </c>
      <c r="G4" s="7" t="inlineStr">
        <is>
          <t>Inspection</t>
        </is>
      </c>
      <c r="H4" s="7" t="inlineStr"/>
      <c r="I4" s="7" t="inlineStr"/>
      <c r="J4" s="7" t="inlineStr"/>
      <c r="K4" s="7" t="inlineStr"/>
      <c r="L4" s="7" t="inlineStr"/>
      <c r="M4" s="7" t="inlineStr"/>
    </row>
    <row r="5">
      <c r="A5" s="12" t="inlineStr">
        <is>
          <t>B2 — Identity and Access Management</t>
        </is>
      </c>
      <c r="B5" s="13" t="n"/>
      <c r="C5" s="13" t="n"/>
      <c r="D5" s="13" t="n"/>
      <c r="E5" s="13" t="n"/>
      <c r="F5" s="13" t="n"/>
      <c r="G5" s="13" t="n"/>
      <c r="H5" s="13" t="n"/>
      <c r="I5" s="13" t="n"/>
      <c r="J5" s="13" t="n"/>
      <c r="K5" s="13" t="n"/>
      <c r="L5" s="13" t="n"/>
      <c r="M5" s="13" t="n"/>
    </row>
    <row r="6">
      <c r="A6" s="14" t="inlineStr">
        <is>
          <t>Identity is the primary control plane in cloud. Expect MFA enforced, least-privilege policies, service account management, break-glass procedures. Weak IAM is the most common cloud compromise vector.</t>
        </is>
      </c>
      <c r="B6" s="15" t="n"/>
      <c r="C6" s="15" t="n"/>
      <c r="D6" s="15" t="n"/>
      <c r="E6" s="15" t="n"/>
      <c r="F6" s="15" t="n"/>
      <c r="G6" s="15" t="n"/>
      <c r="H6" s="15" t="n"/>
      <c r="I6" s="15" t="n"/>
      <c r="J6" s="15" t="n"/>
      <c r="K6" s="15" t="n"/>
      <c r="L6" s="15" t="n"/>
      <c r="M6" s="15" t="n"/>
    </row>
    <row r="7">
      <c r="A7" s="7" t="inlineStr">
        <is>
          <t>CLD-12</t>
        </is>
      </c>
      <c r="B7" s="7" t="inlineStr">
        <is>
          <t>PLATFORM</t>
        </is>
      </c>
      <c r="C7" s="7" t="inlineStr">
        <is>
          <t>Cloud IAM</t>
        </is>
      </c>
      <c r="D7" s="7" t="inlineStr">
        <is>
          <t>Identity and access management</t>
        </is>
      </c>
      <c r="E7" s="7" t="inlineStr">
        <is>
          <t>1. Review cloud IAM architecture (identity federation, SSO, MFA).
2. Verify MFA enforced for all cloud console and API access.
3. Check least privilege — review IAM policies for overly permissive roles.
4. Verify privileged/admin access limited, separately managed, monitored.
5. Verify service accounts and API keys managed with rotation.
6. Check for unused/stale IAM accounts and access keys.
7. Review break-glass / emergency access procedures.</t>
        </is>
      </c>
      <c r="F7" s="7" t="inlineStr">
        <is>
          <t>IAM architecture; MFA enforcement config; IAM policy review; Privileged access inventory; Service account inventory; Stale account report; Break-glass procedures</t>
        </is>
      </c>
      <c r="G7" s="7" t="inlineStr">
        <is>
          <t>Inspection</t>
        </is>
      </c>
      <c r="H7" s="7" t="inlineStr"/>
      <c r="I7" s="7" t="inlineStr"/>
      <c r="J7" s="7" t="inlineStr"/>
      <c r="K7" s="7" t="inlineStr"/>
      <c r="L7" s="7" t="inlineStr"/>
      <c r="M7" s="7" t="inlineStr"/>
    </row>
    <row r="8">
      <c r="A8" s="12" t="inlineStr">
        <is>
          <t>B3 — Data Protection</t>
        </is>
      </c>
      <c r="B8" s="13" t="n"/>
      <c r="C8" s="13" t="n"/>
      <c r="D8" s="13" t="n"/>
      <c r="E8" s="13" t="n"/>
      <c r="F8" s="13" t="n"/>
      <c r="G8" s="13" t="n"/>
      <c r="H8" s="13" t="n"/>
      <c r="I8" s="13" t="n"/>
      <c r="J8" s="13" t="n"/>
      <c r="K8" s="13" t="n"/>
      <c r="L8" s="13" t="n"/>
      <c r="M8" s="13" t="n"/>
    </row>
    <row r="9">
      <c r="A9" s="14" t="inlineStr">
        <is>
          <t>Data classification and encryption are foundational. Expect classification tagging, encryption at rest/transit, key management strategy, DLP controls. Unprotected data in cloud is a regulatory breach.</t>
        </is>
      </c>
      <c r="B9" s="15" t="n"/>
      <c r="C9" s="15" t="n"/>
      <c r="D9" s="15" t="n"/>
      <c r="E9" s="15" t="n"/>
      <c r="F9" s="15" t="n"/>
      <c r="G9" s="15" t="n"/>
      <c r="H9" s="15" t="n"/>
      <c r="I9" s="15" t="n"/>
      <c r="J9" s="15" t="n"/>
      <c r="K9" s="15" t="n"/>
      <c r="L9" s="15" t="n"/>
      <c r="M9" s="15" t="n"/>
    </row>
    <row r="10">
      <c r="A10" s="7" t="inlineStr">
        <is>
          <t>CLD-13</t>
        </is>
      </c>
      <c r="B10" s="7" t="inlineStr">
        <is>
          <t>ORG</t>
        </is>
      </c>
      <c r="C10" s="7" t="inlineStr">
        <is>
          <t>Data Protection</t>
        </is>
      </c>
      <c r="D10" s="7" t="inlineStr">
        <is>
          <t>Data classification for cloud</t>
        </is>
      </c>
      <c r="E10" s="7" t="inlineStr">
        <is>
          <t>1. Obtain the FI's data classification scheme as applied to cloud resources.
2. Verify classification tags are applied to cloud resources (storage, databases, compute).
3. Check that handling requirements are defined per classification level.
4. Verify controls are proportionate to classification.</t>
        </is>
      </c>
      <c r="F10" s="7" t="inlineStr">
        <is>
          <t>Data classification scheme; Cloud resource tagging evidence; Handling requirements per level; Classification compliance reports</t>
        </is>
      </c>
      <c r="G10" s="7" t="inlineStr">
        <is>
          <t>Inspection</t>
        </is>
      </c>
      <c r="H10" s="7" t="inlineStr"/>
      <c r="I10" s="7" t="inlineStr"/>
      <c r="J10" s="7" t="inlineStr"/>
      <c r="K10" s="7" t="inlineStr"/>
      <c r="L10" s="7" t="inlineStr"/>
      <c r="M10" s="7" t="inlineStr"/>
    </row>
    <row r="11">
      <c r="A11" s="7" t="inlineStr">
        <is>
          <t>CLD-14</t>
        </is>
      </c>
      <c r="B11" s="7" t="inlineStr">
        <is>
          <t>PLATFORM</t>
        </is>
      </c>
      <c r="C11" s="7" t="inlineStr">
        <is>
          <t>Data Protection</t>
        </is>
      </c>
      <c r="D11" s="7" t="inlineStr">
        <is>
          <t>Encryption and key management</t>
        </is>
      </c>
      <c r="E11" s="7" t="inlineStr">
        <is>
          <t>1. Review cloud encryption and key management strategy.
2. Identify key ownership model (CSP-managed, CMK, BYOK).
3. Verify encryption at rest for all data stores.
4. Verify encryption in transit (TLS 1.2+) for all endpoints.
5. For CMK: verify key rotation schedule and access controls.
6. Verify DLP policies cover exfiltration detection, storage exposure, sharing controls.
7. Verify public access to cloud storage explicitly blocked.</t>
        </is>
      </c>
      <c r="F11" s="7" t="inlineStr">
        <is>
          <t>Encryption/key management policy; Key management config; Encryption-at-rest per data store; TLS config; DLP policy config; Cloud storage public access settings</t>
        </is>
      </c>
      <c r="G11" s="7" t="inlineStr">
        <is>
          <t>Inspection</t>
        </is>
      </c>
      <c r="H11" s="7" t="inlineStr"/>
      <c r="I11" s="7" t="inlineStr"/>
      <c r="J11" s="7" t="inlineStr"/>
      <c r="K11" s="7" t="inlineStr"/>
      <c r="L11" s="7" t="inlineStr"/>
      <c r="M11" s="7" t="inlineStr"/>
    </row>
    <row r="12">
      <c r="A12" s="12" t="inlineStr">
        <is>
          <t>B4 — Network Security</t>
        </is>
      </c>
      <c r="B12" s="13" t="n"/>
      <c r="C12" s="13" t="n"/>
      <c r="D12" s="13" t="n"/>
      <c r="E12" s="13" t="n"/>
      <c r="F12" s="13" t="n"/>
      <c r="G12" s="13" t="n"/>
      <c r="H12" s="13" t="n"/>
      <c r="I12" s="13" t="n"/>
      <c r="J12" s="13" t="n"/>
      <c r="K12" s="13" t="n"/>
      <c r="L12" s="13" t="n"/>
      <c r="M12" s="13" t="n"/>
    </row>
    <row r="13">
      <c r="A13" s="14" t="inlineStr">
        <is>
          <t>Cloud network controls replace traditional perimeter security. Expect VPC segmentation, WAF, DDoS protection, private connectivity, flow logging. Misconfigured cloud networking exposes services to the internet.</t>
        </is>
      </c>
      <c r="B13" s="15" t="n"/>
      <c r="C13" s="15" t="n"/>
      <c r="D13" s="15" t="n"/>
      <c r="E13" s="15" t="n"/>
      <c r="F13" s="15" t="n"/>
      <c r="G13" s="15" t="n"/>
      <c r="H13" s="15" t="n"/>
      <c r="I13" s="15" t="n"/>
      <c r="J13" s="15" t="n"/>
      <c r="K13" s="15" t="n"/>
      <c r="L13" s="15" t="n"/>
      <c r="M13" s="15" t="n"/>
    </row>
    <row r="14">
      <c r="A14" s="7" t="inlineStr">
        <is>
          <t>CLD-15</t>
        </is>
      </c>
      <c r="B14" s="7" t="inlineStr">
        <is>
          <t>PLATFORM</t>
        </is>
      </c>
      <c r="C14" s="7" t="inlineStr">
        <is>
          <t>Network Security</t>
        </is>
      </c>
      <c r="D14" s="7" t="inlineStr">
        <is>
          <t>Virtual network design and segmentation</t>
        </is>
      </c>
      <c r="E14" s="7" t="inlineStr">
        <is>
          <t>1. Review VPC/VNet architecture and segmentation.
2. Verify security groups / network ACLs follow least-privilege.
3. Check private connectivity to cloud (Direct Connect, ExpressRoute, Interconnect).
4. Verify WAF deployed for internet-facing applications.
5. Verify DDoS protection enabled (L3/L4 and L7).
6. Check network flow logging enabled.
7. Verify API gateway security configuration.</t>
        </is>
      </c>
      <c r="F14" s="7" t="inlineStr">
        <is>
          <t>VPC/VNet architecture diagrams; Security group configs; Private connectivity architecture; WAF rules; DDoS protection config; Network flow log config; API gateway config</t>
        </is>
      </c>
      <c r="G14" s="7" t="inlineStr">
        <is>
          <t>Inspection</t>
        </is>
      </c>
      <c r="H14" s="7" t="inlineStr"/>
      <c r="I14" s="7" t="inlineStr"/>
      <c r="J14" s="7" t="inlineStr"/>
      <c r="K14" s="7" t="inlineStr"/>
      <c r="L14" s="7" t="inlineStr"/>
      <c r="M14" s="7" t="inlineStr"/>
    </row>
    <row r="15">
      <c r="A15" s="12" t="inlineStr">
        <is>
          <t>B5 — Compute Security</t>
        </is>
      </c>
      <c r="B15" s="13" t="n"/>
      <c r="C15" s="13" t="n"/>
      <c r="D15" s="13" t="n"/>
      <c r="E15" s="13" t="n"/>
      <c r="F15" s="13" t="n"/>
      <c r="G15" s="13" t="n"/>
      <c r="H15" s="13" t="n"/>
      <c r="I15" s="13" t="n"/>
      <c r="J15" s="13" t="n"/>
      <c r="K15" s="13" t="n"/>
      <c r="L15" s="13" t="n"/>
      <c r="M15" s="13" t="n"/>
    </row>
    <row r="16">
      <c r="A16" s="14" t="inlineStr">
        <is>
          <t>All compute resources must be hardened and patched. Expect hardening standards, container scanning, serverless permission controls, endpoint protection. Unpatched compute is the primary attack surface.</t>
        </is>
      </c>
      <c r="B16" s="15" t="n"/>
      <c r="C16" s="15" t="n"/>
      <c r="D16" s="15" t="n"/>
      <c r="E16" s="15" t="n"/>
      <c r="F16" s="15" t="n"/>
      <c r="G16" s="15" t="n"/>
      <c r="H16" s="15" t="n"/>
      <c r="I16" s="15" t="n"/>
      <c r="J16" s="15" t="n"/>
      <c r="K16" s="15" t="n"/>
      <c r="L16" s="15" t="n"/>
      <c r="M16" s="15" t="n"/>
    </row>
    <row r="17">
      <c r="A17" s="7" t="inlineStr">
        <is>
          <t>CLD-16</t>
        </is>
      </c>
      <c r="B17" s="7" t="inlineStr">
        <is>
          <t>PLATFORM</t>
        </is>
      </c>
      <c r="C17" s="7" t="inlineStr">
        <is>
          <t>Compute Security</t>
        </is>
      </c>
      <c r="D17" s="7" t="inlineStr">
        <is>
          <t>VM, container, and serverless security</t>
        </is>
      </c>
      <c r="E17" s="7" t="inlineStr">
        <is>
          <t>1. Obtain VM/instance hardening standards and verify compliance.
2. Verify container images from approved registries and scanned for vulnerabilities.
3. Check containers run least-privilege (non-root, read-only FS).
4. Verify pod/container network policies enforce segmentation.
5. Check orchestrator hardened per CIS benchmarks.
6. Review serverless function permissions and secrets management.
7. Verify anti-malware / endpoint protection for cloud instances.
8. Check patch management for cloud compute resources.</t>
        </is>
      </c>
      <c r="F17" s="7" t="inlineStr">
        <is>
          <t>Hardening standards and compliance reports; Container image scanning reports; Runtime security config; Network policies; CIS benchmark reports; Serverless function permissions; Anti-malware deployment; Patch management reports</t>
        </is>
      </c>
      <c r="G17" s="7" t="inlineStr">
        <is>
          <t>Inspection</t>
        </is>
      </c>
      <c r="H17" s="7" t="inlineStr"/>
      <c r="I17" s="7" t="inlineStr"/>
      <c r="J17" s="7" t="inlineStr"/>
      <c r="K17" s="7" t="inlineStr"/>
      <c r="L17" s="7" t="inlineStr"/>
      <c r="M17" s="7" t="inlineStr"/>
    </row>
    <row r="18">
      <c r="A18" s="12" t="inlineStr">
        <is>
          <t>B6 — Storage Security</t>
        </is>
      </c>
      <c r="B18" s="13" t="n"/>
      <c r="C18" s="13" t="n"/>
      <c r="D18" s="13" t="n"/>
      <c r="E18" s="13" t="n"/>
      <c r="F18" s="13" t="n"/>
      <c r="G18" s="13" t="n"/>
      <c r="H18" s="13" t="n"/>
      <c r="I18" s="13" t="n"/>
      <c r="J18" s="13" t="n"/>
      <c r="K18" s="13" t="n"/>
      <c r="L18" s="13" t="n"/>
      <c r="M18" s="13" t="n"/>
    </row>
    <row r="19">
      <c r="A19" s="14" t="inlineStr">
        <is>
          <t>Cloud storage misconfigurations are a leading cause of data breaches. Expect public access blocked by default, access logging, lifecycle management. A single misconfigured bucket can expose all customer data.</t>
        </is>
      </c>
      <c r="B19" s="15" t="n"/>
      <c r="C19" s="15" t="n"/>
      <c r="D19" s="15" t="n"/>
      <c r="E19" s="15" t="n"/>
      <c r="F19" s="15" t="n"/>
      <c r="G19" s="15" t="n"/>
      <c r="H19" s="15" t="n"/>
      <c r="I19" s="15" t="n"/>
      <c r="J19" s="15" t="n"/>
      <c r="K19" s="15" t="n"/>
      <c r="L19" s="15" t="n"/>
      <c r="M19" s="15" t="n"/>
    </row>
    <row r="20">
      <c r="A20" s="7" t="inlineStr">
        <is>
          <t>CLD-17</t>
        </is>
      </c>
      <c r="B20" s="7" t="inlineStr">
        <is>
          <t>PLATFORM</t>
        </is>
      </c>
      <c r="C20" s="7" t="inlineStr">
        <is>
          <t>Storage Security</t>
        </is>
      </c>
      <c r="D20" s="7" t="inlineStr">
        <is>
          <t>Cloud storage controls</t>
        </is>
      </c>
      <c r="E20" s="7" t="inlineStr">
        <is>
          <t>1. Review storage bucket/blob/object access policies.
2. Verify public access blocked by default (public access block enabled).
3. Check access logging enabled for storage services.
4. Verify encryption configuration for all storage types.
5. Review lifecycle management policies (retention, deletion).
6. Check versioning and deletion protection for critical data.
7. Verify cross-region replication security.</t>
        </is>
      </c>
      <c r="F20" s="7" t="inlineStr">
        <is>
          <t>Storage access policy configs; Public access block settings; Access logging config; Encryption settings; Lifecycle policies; Versioning/deletion protection; Cross-region replication config</t>
        </is>
      </c>
      <c r="G20" s="7" t="inlineStr">
        <is>
          <t>Inspection</t>
        </is>
      </c>
      <c r="H20" s="7" t="inlineStr"/>
      <c r="I20" s="7" t="inlineStr"/>
      <c r="J20" s="7" t="inlineStr"/>
      <c r="K20" s="7" t="inlineStr"/>
      <c r="L20" s="7" t="inlineStr"/>
      <c r="M20" s="7" t="inlineStr"/>
    </row>
    <row r="21">
      <c r="A21" s="12" t="inlineStr">
        <is>
          <t>B7 — Logging and Monitoring</t>
        </is>
      </c>
      <c r="B21" s="13" t="n"/>
      <c r="C21" s="13" t="n"/>
      <c r="D21" s="13" t="n"/>
      <c r="E21" s="13" t="n"/>
      <c r="F21" s="13" t="n"/>
      <c r="G21" s="13" t="n"/>
      <c r="H21" s="13" t="n"/>
      <c r="I21" s="13" t="n"/>
      <c r="J21" s="13" t="n"/>
      <c r="K21" s="13" t="n"/>
      <c r="L21" s="13" t="n"/>
      <c r="M21" s="13" t="n"/>
    </row>
    <row r="22">
      <c r="A22" s="14" t="inlineStr">
        <is>
          <t>Visibility into cloud activity is essential for detection and response. Expect cloud-native logging enabled, SIEM integration, CSPM deployed. Without logging, breaches go undetected.</t>
        </is>
      </c>
      <c r="B22" s="15" t="n"/>
      <c r="C22" s="15" t="n"/>
      <c r="D22" s="15" t="n"/>
      <c r="E22" s="15" t="n"/>
      <c r="F22" s="15" t="n"/>
      <c r="G22" s="15" t="n"/>
      <c r="H22" s="15" t="n"/>
      <c r="I22" s="15" t="n"/>
      <c r="J22" s="15" t="n"/>
      <c r="K22" s="15" t="n"/>
      <c r="L22" s="15" t="n"/>
      <c r="M22" s="15" t="n"/>
    </row>
    <row r="23">
      <c r="A23" s="7" t="inlineStr">
        <is>
          <t>CLD-18</t>
        </is>
      </c>
      <c r="B23" s="7" t="inlineStr">
        <is>
          <t>PLATFORM</t>
        </is>
      </c>
      <c r="C23" s="7" t="inlineStr">
        <is>
          <t>Logging &amp; Monitoring</t>
        </is>
      </c>
      <c r="D23" s="7" t="inlineStr">
        <is>
          <t>Cloud security monitoring</t>
        </is>
      </c>
      <c r="E23" s="7" t="inlineStr">
        <is>
          <t>1. Verify cloud-native audit logging enabled (CloudTrail, Activity Log, etc.).
2. Confirm centralised log aggregation (SIEM integration).
3. Check alert rules for security-relevant events.
4. Verify log retention aligned with regulatory requirements.
5. Check CSPM deployed to detect misconfigurations.
6. Review CSPM findings and remediation status.
7. Verify cost monitoring and anomaly detection.</t>
        </is>
      </c>
      <c r="F23" s="7" t="inlineStr">
        <is>
          <t>Cloud audit log config; SIEM integration; Alert rule configs; Log retention policies; CSPM config and findings; Cost monitoring dashboards</t>
        </is>
      </c>
      <c r="G23" s="7" t="inlineStr">
        <is>
          <t>Inspection</t>
        </is>
      </c>
      <c r="H23" s="7" t="inlineStr"/>
      <c r="I23" s="7" t="inlineStr"/>
      <c r="J23" s="7" t="inlineStr"/>
      <c r="K23" s="7" t="inlineStr"/>
      <c r="L23" s="7" t="inlineStr"/>
      <c r="M23" s="7" t="inlineStr"/>
    </row>
    <row r="24">
      <c r="A24" s="12" t="inlineStr">
        <is>
          <t>B8 — Vulnerability Management</t>
        </is>
      </c>
      <c r="B24" s="13" t="n"/>
      <c r="C24" s="13" t="n"/>
      <c r="D24" s="13" t="n"/>
      <c r="E24" s="13" t="n"/>
      <c r="F24" s="13" t="n"/>
      <c r="G24" s="13" t="n"/>
      <c r="H24" s="13" t="n"/>
      <c r="I24" s="13" t="n"/>
      <c r="J24" s="13" t="n"/>
      <c r="K24" s="13" t="n"/>
      <c r="L24" s="13" t="n"/>
      <c r="M24" s="13" t="n"/>
    </row>
    <row r="25">
      <c r="A25" s="14" t="inlineStr">
        <is>
          <t>Cloud resources must be scanned and patched systematically. Expect vulnerability scanning, patching SLAs, cloud-specific pen testing. Unmanaged vulnerabilities are exploitable at scale.</t>
        </is>
      </c>
      <c r="B25" s="15" t="n"/>
      <c r="C25" s="15" t="n"/>
      <c r="D25" s="15" t="n"/>
      <c r="E25" s="15" t="n"/>
      <c r="F25" s="15" t="n"/>
      <c r="G25" s="15" t="n"/>
      <c r="H25" s="15" t="n"/>
      <c r="I25" s="15" t="n"/>
      <c r="J25" s="15" t="n"/>
      <c r="K25" s="15" t="n"/>
      <c r="L25" s="15" t="n"/>
      <c r="M25" s="15" t="n"/>
    </row>
    <row r="26">
      <c r="A26" s="7" t="inlineStr">
        <is>
          <t>CLD-19</t>
        </is>
      </c>
      <c r="B26" s="7" t="inlineStr">
        <is>
          <t>PLATFORM</t>
        </is>
      </c>
      <c r="C26" s="7" t="inlineStr">
        <is>
          <t>Vulnerability Management</t>
        </is>
      </c>
      <c r="D26" s="7" t="inlineStr">
        <is>
          <t>Cloud vulnerability scanning and patching</t>
        </is>
      </c>
      <c r="E26" s="7" t="inlineStr">
        <is>
          <t>1. Verify cloud resource vulnerability scanning (instances, containers, serverless).
2. Check CSP-native security posture management tools deployed.
3. Review patching SLAs and compliance rates for cloud resources.
4. Obtain most recent cloud environment penetration test report.
5. Verify pen testing complies with CSP policies.
6. Check remediation tracking and SLA adherence.</t>
        </is>
      </c>
      <c r="F26" s="7" t="inlineStr">
        <is>
          <t>Vulnerability scanning tool config and reports; Security posture management dashboards; Patching compliance reports; Cloud pen test report; Remediation tracker</t>
        </is>
      </c>
      <c r="G26" s="7" t="inlineStr">
        <is>
          <t>Inspection</t>
        </is>
      </c>
      <c r="H26" s="7" t="inlineStr"/>
      <c r="I26" s="7" t="inlineStr"/>
      <c r="J26" s="7" t="inlineStr"/>
      <c r="K26" s="7" t="inlineStr"/>
      <c r="L26" s="7" t="inlineStr"/>
      <c r="M26" s="7" t="inlineStr"/>
    </row>
    <row r="27">
      <c r="A27" s="12" t="inlineStr">
        <is>
          <t>B9 — Change Management</t>
        </is>
      </c>
      <c r="B27" s="13" t="n"/>
      <c r="C27" s="13" t="n"/>
      <c r="D27" s="13" t="n"/>
      <c r="E27" s="13" t="n"/>
      <c r="F27" s="13" t="n"/>
      <c r="G27" s="13" t="n"/>
      <c r="H27" s="13" t="n"/>
      <c r="I27" s="13" t="n"/>
      <c r="J27" s="13" t="n"/>
      <c r="K27" s="13" t="n"/>
      <c r="L27" s="13" t="n"/>
      <c r="M27" s="13" t="n"/>
    </row>
    <row r="28">
      <c r="A28" s="14" t="inlineStr">
        <is>
          <t>Infrastructure as Code and CI/CD must be governed. Expect version control, security gates, drift detection, approval workflows. Uncontrolled changes introduce misconfigurations.</t>
        </is>
      </c>
      <c r="B28" s="15" t="n"/>
      <c r="C28" s="15" t="n"/>
      <c r="D28" s="15" t="n"/>
      <c r="E28" s="15" t="n"/>
      <c r="F28" s="15" t="n"/>
      <c r="G28" s="15" t="n"/>
      <c r="H28" s="15" t="n"/>
      <c r="I28" s="15" t="n"/>
      <c r="J28" s="15" t="n"/>
      <c r="K28" s="15" t="n"/>
      <c r="L28" s="15" t="n"/>
      <c r="M28" s="15" t="n"/>
    </row>
    <row r="29">
      <c r="A29" s="7" t="inlineStr">
        <is>
          <t>CLD-20</t>
        </is>
      </c>
      <c r="B29" s="7" t="inlineStr">
        <is>
          <t>PLATFORM</t>
        </is>
      </c>
      <c r="C29" s="7" t="inlineStr">
        <is>
          <t>Change Management</t>
        </is>
      </c>
      <c r="D29" s="7" t="inlineStr">
        <is>
          <t>CI/CD and IaC governance</t>
        </is>
      </c>
      <c r="E29" s="7" t="inlineStr">
        <is>
          <t>1. Review CI/CD pipeline architecture and security gates (SAST, DAST, SCA, container scanning).
2. Verify production deployment requires approval.
3. Check pipeline config is version-controlled and access-restricted.
4. Verify secrets not hardcoded.
5. Review IaC governance (code review, version control, approval).
6. Check IaC templates scanned for misconfigurations.
7. Verify configuration drift detection.
8. Confirm IaC state files stored securely.</t>
        </is>
      </c>
      <c r="F29" s="7" t="inlineStr">
        <is>
          <t>CI/CD architecture; Security gate config; Approval workflow; Pipeline access controls; IaC repository; IaC scanning tool; Drift detection; State file storage</t>
        </is>
      </c>
      <c r="G29" s="7" t="inlineStr">
        <is>
          <t>Inspection</t>
        </is>
      </c>
      <c r="H29" s="7" t="inlineStr"/>
      <c r="I29" s="7" t="inlineStr"/>
      <c r="J29" s="7" t="inlineStr"/>
      <c r="K29" s="7" t="inlineStr"/>
      <c r="L29" s="7" t="inlineStr"/>
      <c r="M29" s="7" t="inlineStr"/>
    </row>
    <row r="30">
      <c r="A30" s="7" t="inlineStr">
        <is>
          <t>CLD-21</t>
        </is>
      </c>
      <c r="B30" s="7" t="inlineStr">
        <is>
          <t>PLATFORM</t>
        </is>
      </c>
      <c r="C30" s="7" t="inlineStr">
        <is>
          <t>Change Management</t>
        </is>
      </c>
      <c r="D30" s="7" t="inlineStr">
        <is>
          <t>Cloud infrastructure change controls</t>
        </is>
      </c>
      <c r="E30" s="7" t="inlineStr">
        <is>
          <t>1. Review cloud change management procedure.
2. Sample 10 recent cloud changes.
3. Verify each has: request, risk assessment, approval, implementation, post-implementation review.
4. Check security-critical changes (IAM, network, encryption) have enhanced approval.
5. Verify rollback capability and procedures.
6. Check emergency change procedures.</t>
        </is>
      </c>
      <c r="F30" s="7" t="inlineStr">
        <is>
          <t>Change management procedure; 10 sampled change records; Enhanced approval evidence; Rollback procedure; Emergency change records</t>
        </is>
      </c>
      <c r="G30" s="7" t="inlineStr">
        <is>
          <t>Inspection</t>
        </is>
      </c>
      <c r="H30" s="7" t="inlineStr"/>
      <c r="I30" s="7" t="inlineStr"/>
      <c r="J30" s="7" t="inlineStr"/>
      <c r="K30" s="7" t="inlineStr"/>
      <c r="L30" s="7" t="inlineStr"/>
      <c r="M30" s="7" t="inlineStr"/>
    </row>
    <row r="31">
      <c r="A31" s="12" t="inlineStr">
        <is>
          <t>B10 — Incident Response</t>
        </is>
      </c>
      <c r="B31" s="13" t="n"/>
      <c r="C31" s="13" t="n"/>
      <c r="D31" s="13" t="n"/>
      <c r="E31" s="13" t="n"/>
      <c r="F31" s="13" t="n"/>
      <c r="G31" s="13" t="n"/>
      <c r="H31" s="13" t="n"/>
      <c r="I31" s="13" t="n"/>
      <c r="J31" s="13" t="n"/>
      <c r="K31" s="13" t="n"/>
      <c r="L31" s="13" t="n"/>
      <c r="M31" s="13" t="n"/>
    </row>
    <row r="32">
      <c r="A32" s="14" t="inlineStr">
        <is>
          <t>Cloud incidents require adapted IR procedures. Expect cloud-specific playbooks, CSP coordination, forensic capability, SOC coverage. Standard IR procedures may not address cloud-specific scenarios.</t>
        </is>
      </c>
      <c r="B32" s="15" t="n"/>
      <c r="C32" s="15" t="n"/>
      <c r="D32" s="15" t="n"/>
      <c r="E32" s="15" t="n"/>
      <c r="F32" s="15" t="n"/>
      <c r="G32" s="15" t="n"/>
      <c r="H32" s="15" t="n"/>
      <c r="I32" s="15" t="n"/>
      <c r="J32" s="15" t="n"/>
      <c r="K32" s="15" t="n"/>
      <c r="L32" s="15" t="n"/>
      <c r="M32" s="15" t="n"/>
    </row>
    <row r="33">
      <c r="A33" s="7" t="inlineStr">
        <is>
          <t>CLD-22</t>
        </is>
      </c>
      <c r="B33" s="7" t="inlineStr">
        <is>
          <t>PLATFORM</t>
        </is>
      </c>
      <c r="C33" s="7" t="inlineStr">
        <is>
          <t>Incident Response</t>
        </is>
      </c>
      <c r="D33" s="7" t="inlineStr">
        <is>
          <t>Cloud incident response and forensics</t>
        </is>
      </c>
      <c r="E33" s="7" t="inlineStr">
        <is>
          <t>1. Review IR plan for cloud-specific scenarios (account compromise, data breach, CSP outage, ransomware).
2. Verify procedures account for shared responsibility model.
3. Check CSP escalation contacts documented.
4. Verify forensic capability in cloud (snapshot, log preservation, evidence collection).
5. Check IR exercises include cloud scenarios.
6. Verify SOC coverage extends to cloud events with cloud-specific detection rules.</t>
        </is>
      </c>
      <c r="F33" s="7" t="inlineStr">
        <is>
          <t>Cloud IR procedures; CSP escalation contacts; Forensic procedures; IR exercise records; SIEM cloud log sources; Cloud detection rules; SOC analyst skill assessment</t>
        </is>
      </c>
      <c r="G33" s="7" t="inlineStr">
        <is>
          <t>Inspection / Inquiry</t>
        </is>
      </c>
      <c r="H33" s="7" t="inlineStr"/>
      <c r="I33" s="7" t="inlineStr"/>
      <c r="J33" s="7" t="inlineStr"/>
      <c r="K33" s="7" t="inlineStr"/>
      <c r="L33" s="7" t="inlineStr"/>
      <c r="M33" s="7" t="inlineStr"/>
    </row>
    <row r="34">
      <c r="A34" s="12" t="inlineStr">
        <is>
          <t>B11 — Business Continuity</t>
        </is>
      </c>
      <c r="B34" s="13" t="n"/>
      <c r="C34" s="13" t="n"/>
      <c r="D34" s="13" t="n"/>
      <c r="E34" s="13" t="n"/>
      <c r="F34" s="13" t="n"/>
      <c r="G34" s="13" t="n"/>
      <c r="H34" s="13" t="n"/>
      <c r="I34" s="13" t="n"/>
      <c r="J34" s="13" t="n"/>
      <c r="K34" s="13" t="n"/>
      <c r="L34" s="13" t="n"/>
      <c r="M34" s="13" t="n"/>
    </row>
    <row r="35">
      <c r="A35" s="14" t="inlineStr">
        <is>
          <t>Cloud DR must be tested, not assumed. Expect multi-AZ deployment, tested failover, defined RTO/RPO per workload. Cloud availability is not a substitute for tested DR.</t>
        </is>
      </c>
      <c r="B35" s="15" t="n"/>
      <c r="C35" s="15" t="n"/>
      <c r="D35" s="15" t="n"/>
      <c r="E35" s="15" t="n"/>
      <c r="F35" s="15" t="n"/>
      <c r="G35" s="15" t="n"/>
      <c r="H35" s="15" t="n"/>
      <c r="I35" s="15" t="n"/>
      <c r="J35" s="15" t="n"/>
      <c r="K35" s="15" t="n"/>
      <c r="L35" s="15" t="n"/>
      <c r="M35" s="15" t="n"/>
    </row>
    <row r="36">
      <c r="A36" s="7" t="inlineStr">
        <is>
          <t>CLD-23</t>
        </is>
      </c>
      <c r="B36" s="7" t="inlineStr">
        <is>
          <t>WORKLOAD</t>
        </is>
      </c>
      <c r="C36" s="7" t="inlineStr">
        <is>
          <t>Business Continuity</t>
        </is>
      </c>
      <c r="D36" s="7" t="inlineStr">
        <is>
          <t>Cloud DR and availability</t>
        </is>
      </c>
      <c r="E36" s="7" t="inlineStr">
        <is>
          <t>1. Verify multi-AZ/multi-region deployment for each critical workload.
2. Review backup strategy and cross-region replication config.
3. Verify backup encryption and restore testing within 12 months.
4. Verify RTO/RPO defined and validated for cloud-hosted critical systems.
5. Check cloud DR/failover tested (cross-region failover).
6. Review CSP outage response procedures.
7. Verify backup monitoring — failed backups detected.</t>
        </is>
      </c>
      <c r="F36" s="7" t="inlineStr">
        <is>
          <t>Multi-AZ/region deployment evidence; Backup config and replication; Restore test results; RTO/RPO definitions; DR/failover test results; CSP outage procedures; Backup monitoring config</t>
        </is>
      </c>
      <c r="G36" s="7" t="inlineStr">
        <is>
          <t>Inspection</t>
        </is>
      </c>
      <c r="H36" s="7" t="inlineStr"/>
      <c r="I36" s="7" t="inlineStr"/>
      <c r="J36" s="7" t="inlineStr"/>
      <c r="K36" s="7" t="inlineStr"/>
      <c r="L36" s="7" t="inlineStr"/>
      <c r="M36" s="7" t="inlineStr"/>
    </row>
    <row r="37">
      <c r="A37" s="12" t="inlineStr">
        <is>
          <t>B12 — Vendor Management</t>
        </is>
      </c>
      <c r="B37" s="13" t="n"/>
      <c r="C37" s="13" t="n"/>
      <c r="D37" s="13" t="n"/>
      <c r="E37" s="13" t="n"/>
      <c r="F37" s="13" t="n"/>
      <c r="G37" s="13" t="n"/>
      <c r="H37" s="13" t="n"/>
      <c r="I37" s="13" t="n"/>
      <c r="J37" s="13" t="n"/>
      <c r="K37" s="13" t="n"/>
      <c r="L37" s="13" t="n"/>
      <c r="M37" s="13" t="n"/>
    </row>
    <row r="38">
      <c r="A38" s="14" t="inlineStr">
        <is>
          <t>CSP oversight is ongoing, not one-time. Expect due diligence, SLA monitoring, shared responsibility mapping, concentration risk assessment. Over-reliance on CSP assurances without independent verification is a risk.</t>
        </is>
      </c>
      <c r="B38" s="15" t="n"/>
      <c r="C38" s="15" t="n"/>
      <c r="D38" s="15" t="n"/>
      <c r="E38" s="15" t="n"/>
      <c r="F38" s="15" t="n"/>
      <c r="G38" s="15" t="n"/>
      <c r="H38" s="15" t="n"/>
      <c r="I38" s="15" t="n"/>
      <c r="J38" s="15" t="n"/>
      <c r="K38" s="15" t="n"/>
      <c r="L38" s="15" t="n"/>
      <c r="M38" s="15" t="n"/>
    </row>
    <row r="39">
      <c r="A39" s="7" t="inlineStr">
        <is>
          <t>CLD-24</t>
        </is>
      </c>
      <c r="B39" s="7" t="inlineStr">
        <is>
          <t>PLATFORM</t>
        </is>
      </c>
      <c r="C39" s="7" t="inlineStr">
        <is>
          <t>Vendor Management</t>
        </is>
      </c>
      <c r="D39" s="7" t="inlineStr">
        <is>
          <t>CSP assessment and oversight</t>
        </is>
      </c>
      <c r="E39" s="7" t="inlineStr">
        <is>
          <t>1. Review CSP assessment documentation (financial stability, security, compliance).
2. Verify shared responsibility model documented and understood.
3. Check SLA monitoring (availability, performance, support response).
4. Review CSP risk profile assessment.
5. Check sub-processor management (CSP third parties).
6. Assess concentration risk — dependency on single/limited CSPs.</t>
        </is>
      </c>
      <c r="F39" s="7" t="inlineStr">
        <is>
          <t>CSP assessment docs; Shared responsibility mapping; SLA monitoring reports; CSP risk assessment; Sub-processor review; Concentration risk assessment</t>
        </is>
      </c>
      <c r="G39" s="7" t="inlineStr">
        <is>
          <t>Inspection</t>
        </is>
      </c>
      <c r="H39" s="7" t="inlineStr"/>
      <c r="I39" s="7" t="inlineStr"/>
      <c r="J39" s="7" t="inlineStr"/>
      <c r="K39" s="7" t="inlineStr"/>
      <c r="L39" s="7" t="inlineStr"/>
      <c r="M39" s="7" t="inlineStr"/>
    </row>
    <row r="40">
      <c r="A40" s="12" t="inlineStr">
        <is>
          <t>B13 — Exit Strategy</t>
        </is>
      </c>
      <c r="B40" s="13" t="n"/>
      <c r="C40" s="13" t="n"/>
      <c r="D40" s="13" t="n"/>
      <c r="E40" s="13" t="n"/>
      <c r="F40" s="13" t="n"/>
      <c r="G40" s="13" t="n"/>
      <c r="H40" s="13" t="n"/>
      <c r="I40" s="13" t="n"/>
      <c r="J40" s="13" t="n"/>
      <c r="K40" s="13" t="n"/>
      <c r="L40" s="13" t="n"/>
      <c r="M40" s="13" t="n"/>
    </row>
    <row r="41">
      <c r="A41" s="14" t="inlineStr">
        <is>
          <t>Vendor lock-in is a strategic risk. Expect documented exit strategy, tested data portability, contractual exit provisions. Without exit planning, the FI is captive to the CSP.</t>
        </is>
      </c>
      <c r="B41" s="15" t="n"/>
      <c r="C41" s="15" t="n"/>
      <c r="D41" s="15" t="n"/>
      <c r="E41" s="15" t="n"/>
      <c r="F41" s="15" t="n"/>
      <c r="G41" s="15" t="n"/>
      <c r="H41" s="15" t="n"/>
      <c r="I41" s="15" t="n"/>
      <c r="J41" s="15" t="n"/>
      <c r="K41" s="15" t="n"/>
      <c r="L41" s="15" t="n"/>
      <c r="M41" s="15" t="n"/>
    </row>
    <row r="42">
      <c r="A42" s="7" t="inlineStr">
        <is>
          <t>CLD-25</t>
        </is>
      </c>
      <c r="B42" s="7" t="inlineStr">
        <is>
          <t>PLATFORM</t>
        </is>
      </c>
      <c r="C42" s="7" t="inlineStr">
        <is>
          <t>Exit Strategy</t>
        </is>
      </c>
      <c r="D42" s="7" t="inlineStr">
        <is>
          <t>Cloud exit and portability</t>
        </is>
      </c>
      <c r="E42" s="7" t="inlineStr">
        <is>
          <t>1. Obtain exit strategy for each critical CSP engagement.
2. Verify it covers: trigger events, data retrieval, migration approach, timeline, resources, communication plan.
3. Check exit strategy reviewed within 12 months.
4. Verify contractual terms support exit.
5. Verify data can be exported in standard formats.
6. Check migration feasibility assessed and tested.
7. Review cost estimates for exit scenarios.</t>
        </is>
      </c>
      <c r="F42" s="7" t="inlineStr">
        <is>
          <t>Exit strategy document; Contractual exit provisions; Data export format docs; Migration feasibility assessment; Export/migration test results; Cost estimates</t>
        </is>
      </c>
      <c r="G42" s="7" t="inlineStr">
        <is>
          <t>Inspection</t>
        </is>
      </c>
      <c r="H42" s="7" t="inlineStr"/>
      <c r="I42" s="7" t="inlineStr"/>
      <c r="J42" s="7" t="inlineStr"/>
      <c r="K42" s="7" t="inlineStr"/>
      <c r="L42" s="7" t="inlineStr"/>
      <c r="M42" s="7" t="inlineStr"/>
    </row>
    <row r="43">
      <c r="A43" s="12" t="inlineStr">
        <is>
          <t>B14 — Regulatory Compliance</t>
        </is>
      </c>
      <c r="B43" s="13" t="n"/>
      <c r="C43" s="13" t="n"/>
      <c r="D43" s="13" t="n"/>
      <c r="E43" s="13" t="n"/>
      <c r="F43" s="13" t="n"/>
      <c r="G43" s="13" t="n"/>
      <c r="H43" s="13" t="n"/>
      <c r="I43" s="13" t="n"/>
      <c r="J43" s="13" t="n"/>
      <c r="K43" s="13" t="n"/>
      <c r="L43" s="13" t="n"/>
      <c r="M43" s="13" t="n"/>
    </row>
    <row r="44">
      <c r="A44" s="14" t="inlineStr">
        <is>
          <t>BNM access rights and data residency are enforceable requirements. Expect verified region controls, tested audit access, PDPA compliance. Non-compliance is a regulatory breach.</t>
        </is>
      </c>
      <c r="B44" s="15" t="n"/>
      <c r="C44" s="15" t="n"/>
      <c r="D44" s="15" t="n"/>
      <c r="E44" s="15" t="n"/>
      <c r="F44" s="15" t="n"/>
      <c r="G44" s="15" t="n"/>
      <c r="H44" s="15" t="n"/>
      <c r="I44" s="15" t="n"/>
      <c r="J44" s="15" t="n"/>
      <c r="K44" s="15" t="n"/>
      <c r="L44" s="15" t="n"/>
      <c r="M44" s="15" t="n"/>
    </row>
    <row r="45">
      <c r="A45" s="7" t="inlineStr">
        <is>
          <t>CLD-26</t>
        </is>
      </c>
      <c r="B45" s="7" t="inlineStr">
        <is>
          <t>WORKLOAD</t>
        </is>
      </c>
      <c r="C45" s="7" t="inlineStr">
        <is>
          <t>Regulatory Compliance</t>
        </is>
      </c>
      <c r="D45" s="7" t="inlineStr">
        <is>
          <t>Data residency and regulatory access</t>
        </is>
      </c>
      <c r="E45" s="7" t="inlineStr">
        <is>
          <t>1. Map each cloud service/data store to hosting region.
2. Verify restricted data resides only in approved regions.
3. Check CSP configs prevent replication to non-approved regions.
4. Verify BNM approval obtained for data outside Malaysia (if required).
5. Verify BNM access rights preserved (contractual and technical).
6. Confirm audit access rights tested (not just contractual).
7. Check regulatory reporting capabilities maintained from cloud.
8. Verify PDPA compliance for cloud.</t>
        </is>
      </c>
      <c r="F45" s="7" t="inlineStr">
        <is>
          <t>Data residency mapping; CSP region config; BNM approval records; BNM access provisions; Audit access test evidence; Regulatory reporting capability; PDPA compliance docs</t>
        </is>
      </c>
      <c r="G45" s="7" t="inlineStr">
        <is>
          <t>Inspection</t>
        </is>
      </c>
      <c r="H45" s="7" t="inlineStr"/>
      <c r="I45" s="7" t="inlineStr"/>
      <c r="J45" s="7" t="inlineStr"/>
      <c r="K45" s="7" t="inlineStr"/>
      <c r="L45" s="7" t="inlineStr"/>
      <c r="M45" s="7" t="inlineStr"/>
    </row>
    <row r="46">
      <c r="A46" s="12" t="inlineStr">
        <is>
          <t>Supplementary — Security Baseline</t>
        </is>
      </c>
      <c r="B46" s="13" t="n"/>
      <c r="C46" s="13" t="n"/>
      <c r="D46" s="13" t="n"/>
      <c r="E46" s="13" t="n"/>
      <c r="F46" s="13" t="n"/>
      <c r="G46" s="13" t="n"/>
      <c r="H46" s="13" t="n"/>
      <c r="I46" s="13" t="n"/>
      <c r="J46" s="13" t="n"/>
      <c r="K46" s="13" t="n"/>
      <c r="L46" s="13" t="n"/>
      <c r="M46" s="13" t="n"/>
    </row>
    <row r="47">
      <c r="A47" s="14" t="inlineStr">
        <is>
          <t>A consistent security baseline prevents configuration drift. Expect CIS Benchmark alignment and automated compliance checking. Without a baseline, each workload's security posture varies.</t>
        </is>
      </c>
      <c r="B47" s="15" t="n"/>
      <c r="C47" s="15" t="n"/>
      <c r="D47" s="15" t="n"/>
      <c r="E47" s="15" t="n"/>
      <c r="F47" s="15" t="n"/>
      <c r="G47" s="15" t="n"/>
      <c r="H47" s="15" t="n"/>
      <c r="I47" s="15" t="n"/>
      <c r="J47" s="15" t="n"/>
      <c r="K47" s="15" t="n"/>
      <c r="L47" s="15" t="n"/>
      <c r="M47" s="15" t="n"/>
    </row>
    <row r="48">
      <c r="A48" s="7" t="inlineStr">
        <is>
          <t>CLD-27</t>
        </is>
      </c>
      <c r="B48" s="7" t="inlineStr">
        <is>
          <t>PLATFORM</t>
        </is>
      </c>
      <c r="C48" s="7" t="inlineStr">
        <is>
          <t>Security Baseline</t>
        </is>
      </c>
      <c r="D48" s="7" t="inlineStr">
        <is>
          <t>Cloud security baseline and hardening</t>
        </is>
      </c>
      <c r="E48" s="7" t="inlineStr">
        <is>
          <t>1. Obtain cloud security baseline/hardening standard.
2. Verify alignment with CIS Cloud Benchmarks or equivalent.
3. Run or review automated compliance checks.
4. Check remediation status of non-compliant findings.</t>
        </is>
      </c>
      <c r="F48" s="7" t="inlineStr">
        <is>
          <t>Cloud security baseline; CIS Benchmark alignment; Automated compliance scan results; Remediation tracker</t>
        </is>
      </c>
      <c r="G48" s="7" t="inlineStr">
        <is>
          <t>Inspection</t>
        </is>
      </c>
      <c r="H48" s="7" t="inlineStr"/>
      <c r="I48" s="7" t="inlineStr"/>
      <c r="J48" s="7" t="inlineStr"/>
      <c r="K48" s="7" t="inlineStr"/>
      <c r="L48" s="7" t="inlineStr"/>
      <c r="M48" s="7" t="inlineStr"/>
    </row>
  </sheetData>
  <mergeCells count="30">
    <mergeCell ref="A5:M5"/>
    <mergeCell ref="A32:M32"/>
    <mergeCell ref="A8:M8"/>
    <mergeCell ref="A22:M22"/>
    <mergeCell ref="A35:M35"/>
    <mergeCell ref="A43:M43"/>
    <mergeCell ref="A38:M38"/>
    <mergeCell ref="A28:M28"/>
    <mergeCell ref="A13:M13"/>
    <mergeCell ref="A19:M19"/>
    <mergeCell ref="A44:M44"/>
    <mergeCell ref="A31:M31"/>
    <mergeCell ref="A34:M34"/>
    <mergeCell ref="A9:M9"/>
    <mergeCell ref="A40:M40"/>
    <mergeCell ref="A15:M15"/>
    <mergeCell ref="A24:M24"/>
    <mergeCell ref="A6:M6"/>
    <mergeCell ref="A25:M25"/>
    <mergeCell ref="A41:M41"/>
    <mergeCell ref="A16:M16"/>
    <mergeCell ref="A46:M46"/>
    <mergeCell ref="A37:M37"/>
    <mergeCell ref="A27:M27"/>
    <mergeCell ref="A12:M12"/>
    <mergeCell ref="A18:M18"/>
    <mergeCell ref="A3:M3"/>
    <mergeCell ref="A21:M21"/>
    <mergeCell ref="A2:M2"/>
    <mergeCell ref="A47:M4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2"/>
  <sheetViews>
    <sheetView workbookViewId="0">
      <selection activeCell="A1" sqref="A1"/>
    </sheetView>
  </sheetViews>
  <sheetFormatPr baseColWidth="8" defaultRowHeight="15"/>
  <cols>
    <col width="10" customWidth="1" min="1" max="1"/>
    <col width="11" customWidth="1" min="2" max="2"/>
    <col width="20" customWidth="1" min="3" max="3"/>
    <col width="28" customWidth="1" min="4" max="4"/>
    <col width="50" customWidth="1" min="5" max="5"/>
    <col width="35" customWidth="1" min="6" max="6"/>
    <col width="14" customWidth="1" min="7" max="7"/>
    <col width="30" customWidth="1" min="8" max="8"/>
    <col width="25" customWidth="1" min="9" max="9"/>
    <col width="12" customWidth="1" min="10" max="10"/>
    <col width="30" customWidth="1" min="11" max="11"/>
    <col width="16" customWidth="1" min="12" max="12"/>
    <col width="30" customWidth="1" min="13" max="13"/>
  </cols>
  <sheetData>
    <row r="1">
      <c r="A1" s="11" t="inlineStr">
        <is>
          <t>Ref</t>
        </is>
      </c>
      <c r="B1" s="11" t="inlineStr">
        <is>
          <t>Level</t>
        </is>
      </c>
      <c r="C1" s="11" t="inlineStr">
        <is>
          <t>Control</t>
        </is>
      </c>
      <c r="D1" s="11" t="inlineStr">
        <is>
          <t>Sub-Procedure</t>
        </is>
      </c>
      <c r="E1" s="11" t="inlineStr">
        <is>
          <t>Assessment Procedures</t>
        </is>
      </c>
      <c r="F1" s="11" t="inlineStr">
        <is>
          <t>Expected Evidence</t>
        </is>
      </c>
      <c r="G1" s="11" t="inlineStr">
        <is>
          <t>Method</t>
        </is>
      </c>
      <c r="H1" s="11" t="inlineStr">
        <is>
          <t>Procedures Performed</t>
        </is>
      </c>
      <c r="I1" s="11" t="inlineStr">
        <is>
          <t>Evidence Obtained</t>
        </is>
      </c>
      <c r="J1" s="11" t="inlineStr">
        <is>
          <t>Evidence Ref</t>
        </is>
      </c>
      <c r="K1" s="11" t="inlineStr">
        <is>
          <t>Observation / Findings</t>
        </is>
      </c>
      <c r="L1" s="11" t="inlineStr">
        <is>
          <t>Conclusion</t>
        </is>
      </c>
      <c r="M1" s="11" t="inlineStr">
        <is>
          <t>Recommendations</t>
        </is>
      </c>
    </row>
    <row r="2">
      <c r="A2" s="12" t="inlineStr">
        <is>
          <t>Item 1(a) — Access Control</t>
        </is>
      </c>
      <c r="B2" s="13" t="n"/>
      <c r="C2" s="13" t="n"/>
      <c r="D2" s="13" t="n"/>
      <c r="E2" s="13" t="n"/>
      <c r="F2" s="13" t="n"/>
      <c r="G2" s="13" t="n"/>
      <c r="H2" s="13" t="n"/>
      <c r="I2" s="13" t="n"/>
      <c r="J2" s="13" t="n"/>
      <c r="K2" s="13" t="n"/>
      <c r="L2" s="13" t="n"/>
      <c r="M2" s="13" t="n"/>
    </row>
    <row r="3">
      <c r="A3" s="14" t="inlineStr">
        <is>
          <t>Access control is foundational — who can access what. Expect policy-driven provisioning, periodic reviews, PAM controls, timely revocation. Excessive access is the most common audit finding.</t>
        </is>
      </c>
      <c r="B3" s="15" t="n"/>
      <c r="C3" s="15" t="n"/>
      <c r="D3" s="15" t="n"/>
      <c r="E3" s="15" t="n"/>
      <c r="F3" s="15" t="n"/>
      <c r="G3" s="15" t="n"/>
      <c r="H3" s="15" t="n"/>
      <c r="I3" s="15" t="n"/>
      <c r="J3" s="15" t="n"/>
      <c r="K3" s="15" t="n"/>
      <c r="L3" s="15" t="n"/>
      <c r="M3" s="15" t="n"/>
    </row>
    <row r="4">
      <c r="A4" s="7" t="inlineStr">
        <is>
          <t>PD-01</t>
        </is>
      </c>
      <c r="B4" s="7" t="inlineStr">
        <is>
          <t>ORG</t>
        </is>
      </c>
      <c r="C4" s="7" t="inlineStr">
        <is>
          <t>Access Control</t>
        </is>
      </c>
      <c r="D4" s="7" t="inlineStr">
        <is>
          <t>Access control policies and mechanisms</t>
        </is>
      </c>
      <c r="E4" s="7" t="inlineStr">
        <is>
          <t>1. Obtain the FI's access control policy and supporting standards.
2. Verify policy covers user registration, de-registration, access provisioning, and privilege management.
3. Sample 20 user accounts — verify access rights are consistent with job roles (least privilege).
4. Check that access reviews are performed periodically (quarterly for privileged, semi-annually for standard).
5. Verify access revocation upon termination — sample 10 recent leavers/transfers.</t>
        </is>
      </c>
      <c r="F4" s="7" t="inlineStr">
        <is>
          <t>Access control policy; User access provisioning records; Access review reports; HR leaver/transfer list vs. access revocation logs</t>
        </is>
      </c>
      <c r="G4" s="7" t="inlineStr">
        <is>
          <t>Inspection</t>
        </is>
      </c>
      <c r="H4" s="7" t="inlineStr"/>
      <c r="I4" s="7" t="inlineStr"/>
      <c r="J4" s="7" t="inlineStr"/>
      <c r="K4" s="7" t="inlineStr"/>
      <c r="L4" s="7" t="inlineStr"/>
      <c r="M4" s="7" t="inlineStr"/>
    </row>
    <row r="5">
      <c r="A5" s="7" t="inlineStr">
        <is>
          <t>PD-02</t>
        </is>
      </c>
      <c r="B5" s="7" t="inlineStr">
        <is>
          <t>ORG</t>
        </is>
      </c>
      <c r="C5" s="7" t="inlineStr">
        <is>
          <t>Access Control</t>
        </is>
      </c>
      <c r="D5" s="7" t="inlineStr">
        <is>
          <t>Privileged access management</t>
        </is>
      </c>
      <c r="E5" s="7" t="inlineStr">
        <is>
          <t>1. Obtain the PAM policy or standard.
2. Obtain the list of all privileged accounts (system admin, DBA, root, domain admin).
3. Verify privileged accounts are individually assigned or vault-managed with session recording.
4. Check that privileged access is time-bound and subject to approval workflow.
5. Review privileged session logs for the past 3 months for anomalies.</t>
        </is>
      </c>
      <c r="F5" s="7" t="inlineStr">
        <is>
          <t>PAM policy; Privileged account inventory; PAM tool configuration and logs; Session recording samples</t>
        </is>
      </c>
      <c r="G5" s="7" t="inlineStr">
        <is>
          <t>Inspection</t>
        </is>
      </c>
      <c r="H5" s="7" t="inlineStr"/>
      <c r="I5" s="7" t="inlineStr"/>
      <c r="J5" s="7" t="inlineStr"/>
      <c r="K5" s="7" t="inlineStr"/>
      <c r="L5" s="7" t="inlineStr"/>
      <c r="M5" s="7" t="inlineStr"/>
    </row>
    <row r="6">
      <c r="A6" s="12" t="inlineStr">
        <is>
          <t>Item 1(b) — Physical and Environmental Security</t>
        </is>
      </c>
      <c r="B6" s="13" t="n"/>
      <c r="C6" s="13" t="n"/>
      <c r="D6" s="13" t="n"/>
      <c r="E6" s="13" t="n"/>
      <c r="F6" s="13" t="n"/>
      <c r="G6" s="13" t="n"/>
      <c r="H6" s="13" t="n"/>
      <c r="I6" s="13" t="n"/>
      <c r="J6" s="13" t="n"/>
      <c r="K6" s="13" t="n"/>
      <c r="L6" s="13" t="n"/>
      <c r="M6" s="13" t="n"/>
    </row>
    <row r="7">
      <c r="A7" s="14" t="inlineStr">
        <is>
          <t>Physical controls protect technology assets from unauthorised access and environmental threats. Expect multi-layered access, CCTV, environmental monitoring. Physical compromise bypasses logical controls.</t>
        </is>
      </c>
      <c r="B7" s="15" t="n"/>
      <c r="C7" s="15" t="n"/>
      <c r="D7" s="15" t="n"/>
      <c r="E7" s="15" t="n"/>
      <c r="F7" s="15" t="n"/>
      <c r="G7" s="15" t="n"/>
      <c r="H7" s="15" t="n"/>
      <c r="I7" s="15" t="n"/>
      <c r="J7" s="15" t="n"/>
      <c r="K7" s="15" t="n"/>
      <c r="L7" s="15" t="n"/>
      <c r="M7" s="15" t="n"/>
    </row>
    <row r="8">
      <c r="A8" s="7" t="inlineStr">
        <is>
          <t>PD-03</t>
        </is>
      </c>
      <c r="B8" s="7" t="inlineStr">
        <is>
          <t>ORG</t>
        </is>
      </c>
      <c r="C8" s="7" t="inlineStr">
        <is>
          <t>Physical Security</t>
        </is>
      </c>
      <c r="D8" s="7" t="inlineStr">
        <is>
          <t>Physical security controls</t>
        </is>
      </c>
      <c r="E8" s="7" t="inlineStr">
        <is>
          <t>1. Identify all sensitive areas (data centres, server rooms, network rooms).
2. Verify multi-layered physical access controls (badge, biometric, PIN).
3. Review visitor management procedures.
4. Verify CCTV coverage with minimum 90-day retention.
5. Sample-check physical access logs against approved access lists.</t>
        </is>
      </c>
      <c r="F8" s="7" t="inlineStr">
        <is>
          <t>Physical security policy; Access control system config; Visitor logs; CCTV coverage map; Physical access log reconciliation</t>
        </is>
      </c>
      <c r="G8" s="7" t="inlineStr">
        <is>
          <t>Inspection / Observation</t>
        </is>
      </c>
      <c r="H8" s="7" t="inlineStr"/>
      <c r="I8" s="7" t="inlineStr"/>
      <c r="J8" s="7" t="inlineStr"/>
      <c r="K8" s="7" t="inlineStr"/>
      <c r="L8" s="7" t="inlineStr"/>
      <c r="M8" s="7" t="inlineStr"/>
    </row>
    <row r="9">
      <c r="A9" s="7" t="inlineStr">
        <is>
          <t>PD-04</t>
        </is>
      </c>
      <c r="B9" s="7" t="inlineStr">
        <is>
          <t>ORG</t>
        </is>
      </c>
      <c r="C9" s="7" t="inlineStr">
        <is>
          <t>Physical Security</t>
        </is>
      </c>
      <c r="D9" s="7" t="inlineStr">
        <is>
          <t>Environmental controls</t>
        </is>
      </c>
      <c r="E9" s="7" t="inlineStr">
        <is>
          <t>1. Verify fire detection and suppression systems are current on inspections.
2. Check water leak detection.
3. Verify temperature and humidity monitoring with alerts.
4. Confirm environmental incident response procedures are tested.</t>
        </is>
      </c>
      <c r="F9" s="7" t="inlineStr">
        <is>
          <t>Fire system inspection certificates; Water leak detection layout; Environmental monitoring dashboards; Incident response test records</t>
        </is>
      </c>
      <c r="G9" s="7" t="inlineStr">
        <is>
          <t>Inspection / Observation</t>
        </is>
      </c>
      <c r="H9" s="7" t="inlineStr"/>
      <c r="I9" s="7" t="inlineStr"/>
      <c r="J9" s="7" t="inlineStr"/>
      <c r="K9" s="7" t="inlineStr"/>
      <c r="L9" s="7" t="inlineStr"/>
      <c r="M9" s="7" t="inlineStr"/>
    </row>
    <row r="10">
      <c r="A10" s="12" t="inlineStr">
        <is>
          <t>Item 1(c) — Operations Security</t>
        </is>
      </c>
      <c r="B10" s="13" t="n"/>
      <c r="C10" s="13" t="n"/>
      <c r="D10" s="13" t="n"/>
      <c r="E10" s="13" t="n"/>
      <c r="F10" s="13" t="n"/>
      <c r="G10" s="13" t="n"/>
      <c r="H10" s="13" t="n"/>
      <c r="I10" s="13" t="n"/>
      <c r="J10" s="13" t="n"/>
      <c r="K10" s="13" t="n"/>
      <c r="L10" s="13" t="n"/>
      <c r="M10" s="13" t="n"/>
    </row>
    <row r="11">
      <c r="A11" s="14" t="inlineStr">
        <is>
          <t>Operational controls ensure systems are managed securely. Expect documented procedures, controlled changes, tested backups, malware protection, vulnerability management. Operational failures cause avoidable incidents.</t>
        </is>
      </c>
      <c r="B11" s="15" t="n"/>
      <c r="C11" s="15" t="n"/>
      <c r="D11" s="15" t="n"/>
      <c r="E11" s="15" t="n"/>
      <c r="F11" s="15" t="n"/>
      <c r="G11" s="15" t="n"/>
      <c r="H11" s="15" t="n"/>
      <c r="I11" s="15" t="n"/>
      <c r="J11" s="15" t="n"/>
      <c r="K11" s="15" t="n"/>
      <c r="L11" s="15" t="n"/>
      <c r="M11" s="15" t="n"/>
    </row>
    <row r="12">
      <c r="A12" s="7" t="inlineStr">
        <is>
          <t>PD-05</t>
        </is>
      </c>
      <c r="B12" s="7" t="inlineStr">
        <is>
          <t>ORG</t>
        </is>
      </c>
      <c r="C12" s="7" t="inlineStr">
        <is>
          <t>Operations Security</t>
        </is>
      </c>
      <c r="D12" s="7" t="inlineStr">
        <is>
          <t>Operational procedures and controls</t>
        </is>
      </c>
      <c r="E12" s="7" t="inlineStr">
        <is>
          <t>1. Obtain documented operating procedures (change mgmt, capacity mgmt, backup, malware protection).
2. Verify change management — sample 10 changes with full lifecycle.
3. Verify backup procedures — confirm critical systems backed up and restore tested.
4. Verify anti-malware deployed with current signatures.</t>
        </is>
      </c>
      <c r="F12" s="7" t="inlineStr">
        <is>
          <t>Operating procedures; 10 sampled change records; Backup schedule and restore test results; Anti-malware deployment reports</t>
        </is>
      </c>
      <c r="G12" s="7" t="inlineStr">
        <is>
          <t>Inspection</t>
        </is>
      </c>
      <c r="H12" s="7" t="inlineStr"/>
      <c r="I12" s="7" t="inlineStr"/>
      <c r="J12" s="7" t="inlineStr"/>
      <c r="K12" s="7" t="inlineStr"/>
      <c r="L12" s="7" t="inlineStr"/>
      <c r="M12" s="7" t="inlineStr"/>
    </row>
    <row r="13">
      <c r="A13" s="7" t="inlineStr">
        <is>
          <t>PD-06</t>
        </is>
      </c>
      <c r="B13" s="7" t="inlineStr">
        <is>
          <t>ORG</t>
        </is>
      </c>
      <c r="C13" s="7" t="inlineStr">
        <is>
          <t>Operations Security</t>
        </is>
      </c>
      <c r="D13" s="7" t="inlineStr">
        <is>
          <t>Vulnerability management and patching</t>
        </is>
      </c>
      <c r="E13" s="7" t="inlineStr">
        <is>
          <t>1. Obtain vulnerability management policy and patching SLAs.
2. Review most recent vulnerability scan results.
3. Check patch compliance rates.
4. Verify exceptions are formally risk-accepted.</t>
        </is>
      </c>
      <c r="F13" s="7" t="inlineStr">
        <is>
          <t>Vulnerability management policy; Scan reports; Patch compliance dashboard; Risk acceptance records</t>
        </is>
      </c>
      <c r="G13" s="7" t="inlineStr">
        <is>
          <t>Inspection</t>
        </is>
      </c>
      <c r="H13" s="7" t="inlineStr"/>
      <c r="I13" s="7" t="inlineStr"/>
      <c r="J13" s="7" t="inlineStr"/>
      <c r="K13" s="7" t="inlineStr"/>
      <c r="L13" s="7" t="inlineStr"/>
      <c r="M13" s="7" t="inlineStr"/>
    </row>
    <row r="14">
      <c r="A14" s="12" t="inlineStr">
        <is>
          <t>Item 1(d) — Communications Security</t>
        </is>
      </c>
      <c r="B14" s="13" t="n"/>
      <c r="C14" s="13" t="n"/>
      <c r="D14" s="13" t="n"/>
      <c r="E14" s="13" t="n"/>
      <c r="F14" s="13" t="n"/>
      <c r="G14" s="13" t="n"/>
      <c r="H14" s="13" t="n"/>
      <c r="I14" s="13" t="n"/>
      <c r="J14" s="13" t="n"/>
      <c r="K14" s="13" t="n"/>
      <c r="L14" s="13" t="n"/>
      <c r="M14" s="13" t="n"/>
    </row>
    <row r="15">
      <c r="A15" s="14" t="inlineStr">
        <is>
          <t>Network controls protect data in transit and network integrity. Expect segmentation, least-privilege firewall rules, encryption, IDS/IPS. Network compromise provides access to all connected systems.</t>
        </is>
      </c>
      <c r="B15" s="15" t="n"/>
      <c r="C15" s="15" t="n"/>
      <c r="D15" s="15" t="n"/>
      <c r="E15" s="15" t="n"/>
      <c r="F15" s="15" t="n"/>
      <c r="G15" s="15" t="n"/>
      <c r="H15" s="15" t="n"/>
      <c r="I15" s="15" t="n"/>
      <c r="J15" s="15" t="n"/>
      <c r="K15" s="15" t="n"/>
      <c r="L15" s="15" t="n"/>
      <c r="M15" s="15" t="n"/>
    </row>
    <row r="16">
      <c r="A16" s="7" t="inlineStr">
        <is>
          <t>PD-07</t>
        </is>
      </c>
      <c r="B16" s="7" t="inlineStr">
        <is>
          <t>ORG</t>
        </is>
      </c>
      <c r="C16" s="7" t="inlineStr">
        <is>
          <t>Communications Security</t>
        </is>
      </c>
      <c r="D16" s="7" t="inlineStr">
        <is>
          <t>Network security and secure communications</t>
        </is>
      </c>
      <c r="E16" s="7" t="inlineStr">
        <is>
          <t>1. Review network segmentation.
2. Verify firewall rules — sample 20 rules for least-privilege.
3. Confirm encryption of data in transit (TLS 1.2+).
4. Verify secure configuration of email, messaging, file transfer.
5. Check IDS/IPS deployed at critical boundaries.</t>
        </is>
      </c>
      <c r="F16" s="7" t="inlineStr">
        <is>
          <t>Network architecture diagram; Firewall rule base sample; TLS configuration; IDS/IPS deployment and alert records</t>
        </is>
      </c>
      <c r="G16" s="7" t="inlineStr">
        <is>
          <t>Inspection</t>
        </is>
      </c>
      <c r="H16" s="7" t="inlineStr"/>
      <c r="I16" s="7" t="inlineStr"/>
      <c r="J16" s="7" t="inlineStr"/>
      <c r="K16" s="7" t="inlineStr"/>
      <c r="L16" s="7" t="inlineStr"/>
      <c r="M16" s="7" t="inlineStr"/>
    </row>
    <row r="17">
      <c r="A17" s="12" t="inlineStr">
        <is>
          <t>Item 1(e) — Incident Management</t>
        </is>
      </c>
      <c r="B17" s="13" t="n"/>
      <c r="C17" s="13" t="n"/>
      <c r="D17" s="13" t="n"/>
      <c r="E17" s="13" t="n"/>
      <c r="F17" s="13" t="n"/>
      <c r="G17" s="13" t="n"/>
      <c r="H17" s="13" t="n"/>
      <c r="I17" s="13" t="n"/>
      <c r="J17" s="13" t="n"/>
      <c r="K17" s="13" t="n"/>
      <c r="L17" s="13" t="n"/>
      <c r="M17" s="13" t="n"/>
    </row>
    <row r="18">
      <c r="A18" s="14" t="inlineStr">
        <is>
          <t>Incident management ensures timely detection, response, and recovery. Expect 24/7 SOC, SIEM, IR playbooks, annual exercises. Without incident management, breaches escalate unchecked.</t>
        </is>
      </c>
      <c r="B18" s="15" t="n"/>
      <c r="C18" s="15" t="n"/>
      <c r="D18" s="15" t="n"/>
      <c r="E18" s="15" t="n"/>
      <c r="F18" s="15" t="n"/>
      <c r="G18" s="15" t="n"/>
      <c r="H18" s="15" t="n"/>
      <c r="I18" s="15" t="n"/>
      <c r="J18" s="15" t="n"/>
      <c r="K18" s="15" t="n"/>
      <c r="L18" s="15" t="n"/>
      <c r="M18" s="15" t="n"/>
    </row>
    <row r="19">
      <c r="A19" s="7" t="inlineStr">
        <is>
          <t>PD-08</t>
        </is>
      </c>
      <c r="B19" s="7" t="inlineStr">
        <is>
          <t>ORG</t>
        </is>
      </c>
      <c r="C19" s="7" t="inlineStr">
        <is>
          <t>Incident Management</t>
        </is>
      </c>
      <c r="D19" s="7" t="inlineStr">
        <is>
          <t>Incident management framework</t>
        </is>
      </c>
      <c r="E19" s="7" t="inlineStr">
        <is>
          <t>1. Obtain incident management policy and procedures.
2. Verify incident classification scheme.
3. Review incident log for past 12 months.
4. Verify RCA for significant incidents with corrective actions.
5. Confirm regulatory notification procedures.</t>
        </is>
      </c>
      <c r="F19" s="7" t="inlineStr">
        <is>
          <t>Incident management policy; Classification matrix; Incident log (12 months); RCA reports; Regulatory notification records</t>
        </is>
      </c>
      <c r="G19" s="7" t="inlineStr">
        <is>
          <t>Inspection</t>
        </is>
      </c>
      <c r="H19" s="7" t="inlineStr"/>
      <c r="I19" s="7" t="inlineStr"/>
      <c r="J19" s="7" t="inlineStr"/>
      <c r="K19" s="7" t="inlineStr"/>
      <c r="L19" s="7" t="inlineStr"/>
      <c r="M19" s="7" t="inlineStr"/>
    </row>
    <row r="20">
      <c r="A20" s="7" t="inlineStr">
        <is>
          <t>PD-09</t>
        </is>
      </c>
      <c r="B20" s="7" t="inlineStr">
        <is>
          <t>ORG</t>
        </is>
      </c>
      <c r="C20" s="7" t="inlineStr">
        <is>
          <t>Incident Management</t>
        </is>
      </c>
      <c r="D20" s="7" t="inlineStr">
        <is>
          <t>Detection and response capabilities</t>
        </is>
      </c>
      <c r="E20" s="7" t="inlineStr">
        <is>
          <t>1. Confirm SOC operates 24/7.
2. Verify SIEM deployment with critical log sources.
3. Sample 15 alerts — verify triage.
4. Confirm IR playbooks for common scenarios.
5. Verify annual IR drills/tabletop exercises.</t>
        </is>
      </c>
      <c r="F20" s="7" t="inlineStr">
        <is>
          <t>SOC operational documentation; SIEM log source inventory; 15 sampled alert records; IR playbooks; Drill/tabletop reports</t>
        </is>
      </c>
      <c r="G20" s="7" t="inlineStr">
        <is>
          <t>Inspection / Inquiry</t>
        </is>
      </c>
      <c r="H20" s="7" t="inlineStr"/>
      <c r="I20" s="7" t="inlineStr"/>
      <c r="J20" s="7" t="inlineStr"/>
      <c r="K20" s="7" t="inlineStr"/>
      <c r="L20" s="7" t="inlineStr"/>
      <c r="M20" s="7" t="inlineStr"/>
    </row>
    <row r="21">
      <c r="A21" s="12" t="inlineStr">
        <is>
          <t>Item 1(f) — Business Continuity</t>
        </is>
      </c>
      <c r="B21" s="13" t="n"/>
      <c r="C21" s="13" t="n"/>
      <c r="D21" s="13" t="n"/>
      <c r="E21" s="13" t="n"/>
      <c r="F21" s="13" t="n"/>
      <c r="G21" s="13" t="n"/>
      <c r="H21" s="13" t="n"/>
      <c r="I21" s="13" t="n"/>
      <c r="J21" s="13" t="n"/>
      <c r="K21" s="13" t="n"/>
      <c r="L21" s="13" t="n"/>
      <c r="M21" s="13" t="n"/>
    </row>
    <row r="22">
      <c r="A22" s="14" t="inlineStr">
        <is>
          <t>Business continuity ensures operations continue during disruptions. Expect BCP/DRP with cyber scenarios, tested DR including security controls, redundant security infrastructure. Untested DR fails when needed.</t>
        </is>
      </c>
      <c r="B22" s="15" t="n"/>
      <c r="C22" s="15" t="n"/>
      <c r="D22" s="15" t="n"/>
      <c r="E22" s="15" t="n"/>
      <c r="F22" s="15" t="n"/>
      <c r="G22" s="15" t="n"/>
      <c r="H22" s="15" t="n"/>
      <c r="I22" s="15" t="n"/>
      <c r="J22" s="15" t="n"/>
      <c r="K22" s="15" t="n"/>
      <c r="L22" s="15" t="n"/>
      <c r="M22" s="15" t="n"/>
    </row>
    <row r="23">
      <c r="A23" s="7" t="inlineStr">
        <is>
          <t>PD-10</t>
        </is>
      </c>
      <c r="B23" s="7" t="inlineStr">
        <is>
          <t>ORG</t>
        </is>
      </c>
      <c r="C23" s="7" t="inlineStr">
        <is>
          <t>Business Continuity</t>
        </is>
      </c>
      <c r="D23" s="7" t="inlineStr">
        <is>
          <t>Security in BCP/DRP</t>
        </is>
      </c>
      <c r="E23" s="7" t="inlineStr">
        <is>
          <t>1. Obtain BCP and IT DRP.
2. Verify security requirements addressed in BCP/DRP.
3. Check BCP/DRP includes cyber incident scenarios.
4. Verify recovery procedures include security validation.</t>
        </is>
      </c>
      <c r="F23" s="7" t="inlineStr">
        <is>
          <t>BCP and IT DRP; Security requirements in BCP/DRP; Cyber incident scenarios; Recovery security validation checklists</t>
        </is>
      </c>
      <c r="G23" s="7" t="inlineStr">
        <is>
          <t>Inspection</t>
        </is>
      </c>
      <c r="H23" s="7" t="inlineStr"/>
      <c r="I23" s="7" t="inlineStr"/>
      <c r="J23" s="7" t="inlineStr"/>
      <c r="K23" s="7" t="inlineStr"/>
      <c r="L23" s="7" t="inlineStr"/>
      <c r="M23" s="7" t="inlineStr"/>
    </row>
    <row r="24">
      <c r="A24" s="7" t="inlineStr">
        <is>
          <t>PD-11</t>
        </is>
      </c>
      <c r="B24" s="7" t="inlineStr">
        <is>
          <t>ORG</t>
        </is>
      </c>
      <c r="C24" s="7" t="inlineStr">
        <is>
          <t>Business Continuity</t>
        </is>
      </c>
      <c r="D24" s="7" t="inlineStr">
        <is>
          <t>BCP/DRP testing with security controls</t>
        </is>
      </c>
      <c r="E24" s="7" t="inlineStr">
        <is>
          <t>1. Review most recent BCP/DRP test.
2. Verify security controls tested during DR exercise.
3. Confirm security findings remediated.
4. Verify DR site maintains equivalent security posture.</t>
        </is>
      </c>
      <c r="F24" s="7" t="inlineStr">
        <is>
          <t>BCP/DRP test plan and results; Security test components; DR site security assessment; Remediation tracker</t>
        </is>
      </c>
      <c r="G24" s="7" t="inlineStr">
        <is>
          <t>Inspection</t>
        </is>
      </c>
      <c r="H24" s="7" t="inlineStr"/>
      <c r="I24" s="7" t="inlineStr"/>
      <c r="J24" s="7" t="inlineStr"/>
      <c r="K24" s="7" t="inlineStr"/>
      <c r="L24" s="7" t="inlineStr"/>
      <c r="M24" s="7" t="inlineStr"/>
    </row>
    <row r="25">
      <c r="A25" s="7" t="inlineStr">
        <is>
          <t>PD-12</t>
        </is>
      </c>
      <c r="B25" s="7" t="inlineStr">
        <is>
          <t>ORG</t>
        </is>
      </c>
      <c r="C25" s="7" t="inlineStr">
        <is>
          <t>Business Continuity</t>
        </is>
      </c>
      <c r="D25" s="7" t="inlineStr">
        <is>
          <t>Redundancy of security infrastructure</t>
        </is>
      </c>
      <c r="E25" s="7" t="inlineStr">
        <is>
          <t>1. Identify critical security infrastructure and verify HA configuration.
2. Confirm failover tested.
3. Verify monitoring continues during DR.
4. Check licenses valid at DR site.</t>
        </is>
      </c>
      <c r="F25" s="7" t="inlineStr">
        <is>
          <t>Security infrastructure HA architecture; Failover test records; DR monitoring evidence; License/subscription records</t>
        </is>
      </c>
      <c r="G25" s="7" t="inlineStr">
        <is>
          <t>Inspection</t>
        </is>
      </c>
      <c r="H25" s="7" t="inlineStr"/>
      <c r="I25" s="7" t="inlineStr"/>
      <c r="J25" s="7" t="inlineStr"/>
      <c r="K25" s="7" t="inlineStr"/>
      <c r="L25" s="7" t="inlineStr"/>
      <c r="M25" s="7" t="inlineStr"/>
    </row>
    <row r="26">
      <c r="A26" s="12" t="inlineStr">
        <is>
          <t>Item 2(a) — Customer Identity Authentication</t>
        </is>
      </c>
      <c r="B26" s="13" t="n"/>
      <c r="C26" s="13" t="n"/>
      <c r="D26" s="13" t="n"/>
      <c r="E26" s="13" t="n"/>
      <c r="F26" s="13" t="n"/>
      <c r="G26" s="13" t="n"/>
      <c r="H26" s="13" t="n"/>
      <c r="I26" s="13" t="n"/>
      <c r="J26" s="13" t="n"/>
      <c r="K26" s="13" t="n"/>
      <c r="L26" s="13" t="n"/>
      <c r="M26" s="13" t="n"/>
    </row>
    <row r="27">
      <c r="A27" s="14" t="inlineStr">
        <is>
          <t>Customer authentication protects online services from unauthorised access. Expect MFA, secure sessions, strong cryptography, anti-session-fixation. Weak authentication directly exposes customers.</t>
        </is>
      </c>
      <c r="B27" s="15" t="n"/>
      <c r="C27" s="15" t="n"/>
      <c r="D27" s="15" t="n"/>
      <c r="E27" s="15" t="n"/>
      <c r="F27" s="15" t="n"/>
      <c r="G27" s="15" t="n"/>
      <c r="H27" s="15" t="n"/>
      <c r="I27" s="15" t="n"/>
      <c r="J27" s="15" t="n"/>
      <c r="K27" s="15" t="n"/>
      <c r="L27" s="15" t="n"/>
      <c r="M27" s="15" t="n"/>
    </row>
    <row r="28">
      <c r="A28" s="7" t="inlineStr">
        <is>
          <t>PD-13</t>
        </is>
      </c>
      <c r="B28" s="7" t="inlineStr">
        <is>
          <t>WORKLOAD</t>
        </is>
      </c>
      <c r="C28" s="7" t="inlineStr">
        <is>
          <t>Customer Authentication</t>
        </is>
      </c>
      <c r="D28" s="7" t="inlineStr">
        <is>
          <t>Session and MITM protection</t>
        </is>
      </c>
      <c r="E28" s="7" t="inlineStr">
        <is>
          <t>1. Review session management controls.
2. Verify TLS 1.2+, HSTS, certificate validity.
3. Confirm session tokens are cryptographically random with proper expiry.
4. Check anti-session-fixation controls.
5. Verify certificate pinning for mobile apps.</t>
        </is>
      </c>
      <c r="F28" s="7" t="inlineStr">
        <is>
          <t>TLS scan results; Session management config; Application security assessment; Mobile cert pinning evidence</t>
        </is>
      </c>
      <c r="G28" s="7" t="inlineStr">
        <is>
          <t>Inspection</t>
        </is>
      </c>
      <c r="H28" s="7" t="inlineStr"/>
      <c r="I28" s="7" t="inlineStr"/>
      <c r="J28" s="7" t="inlineStr"/>
      <c r="K28" s="7" t="inlineStr"/>
      <c r="L28" s="7" t="inlineStr"/>
      <c r="M28" s="7" t="inlineStr"/>
    </row>
    <row r="29">
      <c r="A29" s="7" t="inlineStr">
        <is>
          <t>PD-14</t>
        </is>
      </c>
      <c r="B29" s="7" t="inlineStr">
        <is>
          <t>WORKLOAD</t>
        </is>
      </c>
      <c r="C29" s="7" t="inlineStr">
        <is>
          <t>Customer Authentication</t>
        </is>
      </c>
      <c r="D29" s="7" t="inlineStr">
        <is>
          <t>Internal controls for online systems</t>
        </is>
      </c>
      <c r="E29" s="7" t="inlineStr">
        <is>
          <t>1. Verify application hardening.
2. Review app security testing results (SAST, DAST, pen test).
3. Confirm database security controls.
4. Check segmentation from corporate network.</t>
        </is>
      </c>
      <c r="F29" s="7" t="inlineStr">
        <is>
          <t>Hardening standards; App security test reports; Database security config; Network segmentation evidence</t>
        </is>
      </c>
      <c r="G29" s="7" t="inlineStr">
        <is>
          <t>Inspection</t>
        </is>
      </c>
      <c r="H29" s="7" t="inlineStr"/>
      <c r="I29" s="7" t="inlineStr"/>
      <c r="J29" s="7" t="inlineStr"/>
      <c r="K29" s="7" t="inlineStr"/>
      <c r="L29" s="7" t="inlineStr"/>
      <c r="M29" s="7" t="inlineStr"/>
    </row>
    <row r="30">
      <c r="A30" s="7" t="inlineStr">
        <is>
          <t>PD-15</t>
        </is>
      </c>
      <c r="B30" s="7" t="inlineStr">
        <is>
          <t>WORKLOAD</t>
        </is>
      </c>
      <c r="C30" s="7" t="inlineStr">
        <is>
          <t>Customer Authentication</t>
        </is>
      </c>
      <c r="D30" s="7" t="inlineStr">
        <is>
          <t>Multi-level authentication</t>
        </is>
      </c>
      <c r="E30" s="7" t="inlineStr">
        <is>
          <t>1. Review authentication architecture.
2. Verify MFA for login and high-risk transactions.
3. Check out-of-band authentication mechanisms.
4. Verify real-time verification for high-value transactions.
5. Assess authentication strength relative to transaction risk.</t>
        </is>
      </c>
      <c r="F30" s="7" t="inlineStr">
        <is>
          <t>Authentication architecture; MFA config; OTP/out-of-band mechanism; Risk-based authentication rules</t>
        </is>
      </c>
      <c r="G30" s="7" t="inlineStr">
        <is>
          <t>Inspection</t>
        </is>
      </c>
      <c r="H30" s="7" t="inlineStr"/>
      <c r="I30" s="7" t="inlineStr"/>
      <c r="J30" s="7" t="inlineStr"/>
      <c r="K30" s="7" t="inlineStr"/>
      <c r="L30" s="7" t="inlineStr"/>
      <c r="M30" s="7" t="inlineStr"/>
    </row>
    <row r="31">
      <c r="A31" s="7" t="inlineStr">
        <is>
          <t>PD-16</t>
        </is>
      </c>
      <c r="B31" s="7" t="inlineStr">
        <is>
          <t>WORKLOAD</t>
        </is>
      </c>
      <c r="C31" s="7" t="inlineStr">
        <is>
          <t>Customer Authentication</t>
        </is>
      </c>
      <c r="D31" s="7" t="inlineStr">
        <is>
          <t>Session handling and credential storage</t>
        </is>
      </c>
      <c r="E31" s="7" t="inlineStr">
        <is>
          <t>1. Verify session timeouts (idle and absolute).
2. Confirm concurrent session controls.
3. Verify credentials stored with strong hashing (bcrypt, Argon2).
4. Check auth database access-restricted and encrypted.
5. Review account lockout configuration.</t>
        </is>
      </c>
      <c r="F31" s="7" t="inlineStr">
        <is>
          <t>Session management config; Password hashing evidence; Auth database access controls; Account lockout config</t>
        </is>
      </c>
      <c r="G31" s="7" t="inlineStr">
        <is>
          <t>Inspection</t>
        </is>
      </c>
      <c r="H31" s="7" t="inlineStr"/>
      <c r="I31" s="7" t="inlineStr"/>
      <c r="J31" s="7" t="inlineStr"/>
      <c r="K31" s="7" t="inlineStr"/>
      <c r="L31" s="7" t="inlineStr"/>
      <c r="M31" s="7" t="inlineStr"/>
    </row>
    <row r="32">
      <c r="A32" s="7" t="inlineStr">
        <is>
          <t>PD-17</t>
        </is>
      </c>
      <c r="B32" s="7" t="inlineStr">
        <is>
          <t>ORG</t>
        </is>
      </c>
      <c r="C32" s="7" t="inlineStr">
        <is>
          <t>Customer Authentication</t>
        </is>
      </c>
      <c r="D32" s="7" t="inlineStr">
        <is>
          <t>Cryptographic implementation</t>
        </is>
      </c>
      <c r="E32" s="7" t="inlineStr">
        <is>
          <t>1. Review cryptographic standards (AES-256, RSA-2048+, ECDSA P-256+).
2. Verify key management practices.
3. Check no deprecated algorithms.
4. Verify crypto implementation reviewed/tested.</t>
        </is>
      </c>
      <c r="F32" s="7" t="inlineStr">
        <is>
          <t>Cryptographic standards document; Key management procedures; HSM config; Crypto assessment results</t>
        </is>
      </c>
      <c r="G32" s="7" t="inlineStr">
        <is>
          <t>Inspection</t>
        </is>
      </c>
      <c r="H32" s="7" t="inlineStr"/>
      <c r="I32" s="7" t="inlineStr"/>
      <c r="J32" s="7" t="inlineStr"/>
      <c r="K32" s="7" t="inlineStr"/>
      <c r="L32" s="7" t="inlineStr"/>
      <c r="M32" s="7" t="inlineStr"/>
    </row>
    <row r="33">
      <c r="A33" s="12" t="inlineStr">
        <is>
          <t>Item 2(b) — Transaction Authentication</t>
        </is>
      </c>
      <c r="B33" s="13" t="n"/>
      <c r="C33" s="13" t="n"/>
      <c r="D33" s="13" t="n"/>
      <c r="E33" s="13" t="n"/>
      <c r="F33" s="13" t="n"/>
      <c r="G33" s="13" t="n"/>
      <c r="H33" s="13" t="n"/>
      <c r="I33" s="13" t="n"/>
      <c r="J33" s="13" t="n"/>
      <c r="K33" s="13" t="n"/>
      <c r="L33" s="13" t="n"/>
      <c r="M33" s="13" t="n"/>
    </row>
    <row r="34">
      <c r="A34" s="14" t="inlineStr">
        <is>
          <t>Transaction authentication ensures non-repudiation and integrity. Expect transaction signing, tamper-evident audit trails, mutual authentication. Without non-repudiation, disputes cannot be resolved.</t>
        </is>
      </c>
      <c r="B34" s="15" t="n"/>
      <c r="C34" s="15" t="n"/>
      <c r="D34" s="15" t="n"/>
      <c r="E34" s="15" t="n"/>
      <c r="F34" s="15" t="n"/>
      <c r="G34" s="15" t="n"/>
      <c r="H34" s="15" t="n"/>
      <c r="I34" s="15" t="n"/>
      <c r="J34" s="15" t="n"/>
      <c r="K34" s="15" t="n"/>
      <c r="L34" s="15" t="n"/>
      <c r="M34" s="15" t="n"/>
    </row>
    <row r="35">
      <c r="A35" s="7" t="inlineStr">
        <is>
          <t>PD-18</t>
        </is>
      </c>
      <c r="B35" s="7" t="inlineStr">
        <is>
          <t>WORKLOAD</t>
        </is>
      </c>
      <c r="C35" s="7" t="inlineStr">
        <is>
          <t>Transaction Authentication</t>
        </is>
      </c>
      <c r="D35" s="7" t="inlineStr">
        <is>
          <t>Proof of origin and integrity</t>
        </is>
      </c>
      <c r="E35" s="7" t="inlineStr">
        <is>
          <t>1. Review transaction signing/MAC mechanisms.
2. Verify records include origin, timestamp, hash, integrity verification.
3. Confirm tamper-evident audit trails.
4. Check logs sufficient for dispute resolution.</t>
        </is>
      </c>
      <c r="F35" s="7" t="inlineStr">
        <is>
          <t>Transaction authentication mechanism; Sample transaction records; Audit trail controls; Log retention policy</t>
        </is>
      </c>
      <c r="G35" s="7" t="inlineStr">
        <is>
          <t>Inspection</t>
        </is>
      </c>
      <c r="H35" s="7" t="inlineStr"/>
      <c r="I35" s="7" t="inlineStr"/>
      <c r="J35" s="7" t="inlineStr"/>
      <c r="K35" s="7" t="inlineStr"/>
      <c r="L35" s="7" t="inlineStr"/>
      <c r="M35" s="7" t="inlineStr"/>
    </row>
    <row r="36">
      <c r="A36" s="7" t="inlineStr">
        <is>
          <t>PD-19</t>
        </is>
      </c>
      <c r="B36" s="7" t="inlineStr">
        <is>
          <t>WORKLOAD</t>
        </is>
      </c>
      <c r="C36" s="7" t="inlineStr">
        <is>
          <t>Transaction Authentication</t>
        </is>
      </c>
      <c r="D36" s="7" t="inlineStr">
        <is>
          <t>Secure delivery and mutual authentication</t>
        </is>
      </c>
      <c r="E36" s="7" t="inlineStr">
        <is>
          <t>1. Verify delivery channel secured end-to-end.
2. Check alerts for high-risk transaction types.
3. Verify mutual authentication for B2B channels.
4. Review triggers for additional authentication.</t>
        </is>
      </c>
      <c r="F36" s="7" t="inlineStr">
        <is>
          <t>Channel security architecture; Transaction alert config; Mutual authentication implementation; Authentication trigger criteria</t>
        </is>
      </c>
      <c r="G36" s="7" t="inlineStr">
        <is>
          <t>Inspection</t>
        </is>
      </c>
      <c r="H36" s="7" t="inlineStr"/>
      <c r="I36" s="7" t="inlineStr"/>
      <c r="J36" s="7" t="inlineStr"/>
      <c r="K36" s="7" t="inlineStr"/>
      <c r="L36" s="7" t="inlineStr"/>
      <c r="M36" s="7" t="inlineStr"/>
    </row>
    <row r="37">
      <c r="A37" s="12" t="inlineStr">
        <is>
          <t>Item 2(c) — Segregation of Duties</t>
        </is>
      </c>
      <c r="B37" s="13" t="n"/>
      <c r="C37" s="13" t="n"/>
      <c r="D37" s="13" t="n"/>
      <c r="E37" s="13" t="n"/>
      <c r="F37" s="13" t="n"/>
      <c r="G37" s="13" t="n"/>
      <c r="H37" s="13" t="n"/>
      <c r="I37" s="13" t="n"/>
      <c r="J37" s="13" t="n"/>
      <c r="K37" s="13" t="n"/>
      <c r="L37" s="13" t="n"/>
      <c r="M37" s="13" t="n"/>
    </row>
    <row r="38">
      <c r="A38" s="14" t="inlineStr">
        <is>
          <t>SoD prevents single-person control over critical operations. Expect maker-checker, privileged user reviews, tamper-resistant authorisation. SoD failures enable fraud.</t>
        </is>
      </c>
      <c r="B38" s="15" t="n"/>
      <c r="C38" s="15" t="n"/>
      <c r="D38" s="15" t="n"/>
      <c r="E38" s="15" t="n"/>
      <c r="F38" s="15" t="n"/>
      <c r="G38" s="15" t="n"/>
      <c r="H38" s="15" t="n"/>
      <c r="I38" s="15" t="n"/>
      <c r="J38" s="15" t="n"/>
      <c r="K38" s="15" t="n"/>
      <c r="L38" s="15" t="n"/>
      <c r="M38" s="15" t="n"/>
    </row>
    <row r="39">
      <c r="A39" s="7" t="inlineStr">
        <is>
          <t>PD-20</t>
        </is>
      </c>
      <c r="B39" s="7" t="inlineStr">
        <is>
          <t>WORKLOAD</t>
        </is>
      </c>
      <c r="C39" s="7" t="inlineStr">
        <is>
          <t>Segregation of Duties</t>
        </is>
      </c>
      <c r="D39" s="7" t="inlineStr">
        <is>
          <t>Dual control for online transactions</t>
        </is>
      </c>
      <c r="E39" s="7" t="inlineStr">
        <is>
          <t>1. Identify critical functions in online transaction systems.
2. Verify maker-checker for critical operations.
3. Review access control matrices — no single user can initiate and approve.
4. Verify unauthorised access detection.</t>
        </is>
      </c>
      <c r="F39" s="7" t="inlineStr">
        <is>
          <t>Access control matrices; Maker-checker config; Dual control workflow; Unauthorised access detection controls</t>
        </is>
      </c>
      <c r="G39" s="7" t="inlineStr">
        <is>
          <t>Inspection</t>
        </is>
      </c>
      <c r="H39" s="7" t="inlineStr"/>
      <c r="I39" s="7" t="inlineStr"/>
      <c r="J39" s="7" t="inlineStr"/>
      <c r="K39" s="7" t="inlineStr"/>
      <c r="L39" s="7" t="inlineStr"/>
      <c r="M39" s="7" t="inlineStr"/>
    </row>
    <row r="40">
      <c r="A40" s="7" t="inlineStr">
        <is>
          <t>PD-21</t>
        </is>
      </c>
      <c r="B40" s="7" t="inlineStr">
        <is>
          <t>WORKLOAD</t>
        </is>
      </c>
      <c r="C40" s="7" t="inlineStr">
        <is>
          <t>Segregation of Duties</t>
        </is>
      </c>
      <c r="D40" s="7" t="inlineStr">
        <is>
          <t>Authorisation database integrity</t>
        </is>
      </c>
      <c r="E40" s="7" t="inlineStr">
        <is>
          <t>1. Verify authorisation database is tamper-resistant.
2. Confirm changes require approval and are logged.
3. Obtain privileged user list — verify quarterly review.
4. Check reviews result in revocation of unnecessary access.</t>
        </is>
      </c>
      <c r="F40" s="7" t="inlineStr">
        <is>
          <t>Auth database access controls; Change logs; Privileged user review records; Revocation evidence</t>
        </is>
      </c>
      <c r="G40" s="7" t="inlineStr">
        <is>
          <t>Inspection</t>
        </is>
      </c>
      <c r="H40" s="7" t="inlineStr"/>
      <c r="I40" s="7" t="inlineStr"/>
      <c r="J40" s="7" t="inlineStr"/>
      <c r="K40" s="7" t="inlineStr"/>
      <c r="L40" s="7" t="inlineStr"/>
      <c r="M40" s="7" t="inlineStr"/>
    </row>
    <row r="41">
      <c r="A41" s="12" t="inlineStr">
        <is>
          <t>Item 2(d) — Data Integrity</t>
        </is>
      </c>
      <c r="B41" s="13" t="n"/>
      <c r="C41" s="13" t="n"/>
      <c r="D41" s="13" t="n"/>
      <c r="E41" s="13" t="n"/>
      <c r="F41" s="13" t="n"/>
      <c r="G41" s="13" t="n"/>
      <c r="H41" s="13" t="n"/>
      <c r="I41" s="13" t="n"/>
      <c r="J41" s="13" t="n"/>
      <c r="K41" s="13" t="n"/>
      <c r="L41" s="13" t="n"/>
      <c r="M41" s="13" t="n"/>
    </row>
    <row r="42">
      <c r="A42" s="14" t="inlineStr">
        <is>
          <t>Data integrity controls prevent tampering and ensure confidentiality. Expect E2E encryption, defence-in-depth, pen testing, audit trails. Data integrity failure causes financial loss and regulatory breach.</t>
        </is>
      </c>
      <c r="B42" s="15" t="n"/>
      <c r="C42" s="15" t="n"/>
      <c r="D42" s="15" t="n"/>
      <c r="E42" s="15" t="n"/>
      <c r="F42" s="15" t="n"/>
      <c r="G42" s="15" t="n"/>
      <c r="H42" s="15" t="n"/>
      <c r="I42" s="15" t="n"/>
      <c r="J42" s="15" t="n"/>
      <c r="K42" s="15" t="n"/>
      <c r="L42" s="15" t="n"/>
      <c r="M42" s="15" t="n"/>
    </row>
    <row r="43">
      <c r="A43" s="7" t="inlineStr">
        <is>
          <t>PD-22</t>
        </is>
      </c>
      <c r="B43" s="7" t="inlineStr">
        <is>
          <t>ORG</t>
        </is>
      </c>
      <c r="C43" s="7" t="inlineStr">
        <is>
          <t>Data Integrity</t>
        </is>
      </c>
      <c r="D43" s="7" t="inlineStr">
        <is>
          <t>End-to-end encryption and multi-layer security</t>
        </is>
      </c>
      <c r="E43" s="7" t="inlineStr">
        <is>
          <t>1. Verify E2E encryption for external communications.
2. Review multi-layer network security (defence-in-depth).
3. Confirm each layer independently managed.
4. Verify security devices current on firmware/signatures.</t>
        </is>
      </c>
      <c r="F43" s="7" t="inlineStr">
        <is>
          <t>Encryption architecture; Multi-layer security diagram; Security device inventory; Management and monitoring evidence</t>
        </is>
      </c>
      <c r="G43" s="7" t="inlineStr">
        <is>
          <t>Inspection</t>
        </is>
      </c>
      <c r="H43" s="7" t="inlineStr"/>
      <c r="I43" s="7" t="inlineStr"/>
      <c r="J43" s="7" t="inlineStr"/>
      <c r="K43" s="7" t="inlineStr"/>
      <c r="L43" s="7" t="inlineStr"/>
      <c r="M43" s="7" t="inlineStr"/>
    </row>
    <row r="44">
      <c r="A44" s="7" t="inlineStr">
        <is>
          <t>PD-23</t>
        </is>
      </c>
      <c r="B44" s="7" t="inlineStr">
        <is>
          <t>ORG</t>
        </is>
      </c>
      <c r="C44" s="7" t="inlineStr">
        <is>
          <t>Data Integrity</t>
        </is>
      </c>
      <c r="D44" s="7" t="inlineStr">
        <is>
          <t>Absence of single points of failure</t>
        </is>
      </c>
      <c r="E44" s="7" t="inlineStr">
        <is>
          <t>1. Review network architecture for SPOF.
2. Verify redundancy at each critical layer.
3. Confirm failover tested within 12 months.
4. Check SPOF analysis documented.</t>
        </is>
      </c>
      <c r="F44" s="7" t="inlineStr">
        <is>
          <t>Network architecture with redundancy; SPOF analysis; Failover test results; SPOF review history</t>
        </is>
      </c>
      <c r="G44" s="7" t="inlineStr">
        <is>
          <t>Inspection</t>
        </is>
      </c>
      <c r="H44" s="7" t="inlineStr"/>
      <c r="I44" s="7" t="inlineStr"/>
      <c r="J44" s="7" t="inlineStr"/>
      <c r="K44" s="7" t="inlineStr"/>
      <c r="L44" s="7" t="inlineStr"/>
      <c r="M44" s="7" t="inlineStr"/>
    </row>
    <row r="45">
      <c r="A45" s="7" t="inlineStr">
        <is>
          <t>PD-24</t>
        </is>
      </c>
      <c r="B45" s="7" t="inlineStr">
        <is>
          <t>ORG</t>
        </is>
      </c>
      <c r="C45" s="7" t="inlineStr">
        <is>
          <t>Data Integrity</t>
        </is>
      </c>
      <c r="D45" s="7" t="inlineStr">
        <is>
          <t>Security assessment and audit trails</t>
        </is>
      </c>
      <c r="E45" s="7" t="inlineStr">
        <is>
          <t>1. Obtain most recent pen test and network security assessment.
2. Verify testing by qualified party within 12 months.
3. Confirm vulnerabilities remediated or risk-accepted.
4. Verify audit trail capabilities.
5. Confirm logs tamper-protected and retained.</t>
        </is>
      </c>
      <c r="F45" s="7" t="inlineStr">
        <is>
          <t>Pen test report; Network security assessment; Audit trail config and sample logs; Log integrity controls</t>
        </is>
      </c>
      <c r="G45" s="7" t="inlineStr">
        <is>
          <t>Inspection</t>
        </is>
      </c>
      <c r="H45" s="7" t="inlineStr"/>
      <c r="I45" s="7" t="inlineStr"/>
      <c r="J45" s="7" t="inlineStr"/>
      <c r="K45" s="7" t="inlineStr"/>
      <c r="L45" s="7" t="inlineStr"/>
      <c r="M45" s="7" t="inlineStr"/>
    </row>
    <row r="46">
      <c r="A46" s="7" t="inlineStr">
        <is>
          <t>PD-25</t>
        </is>
      </c>
      <c r="B46" s="7" t="inlineStr">
        <is>
          <t>WORKLOAD</t>
        </is>
      </c>
      <c r="C46" s="7" t="inlineStr">
        <is>
          <t>Data Integrity</t>
        </is>
      </c>
      <c r="D46" s="7" t="inlineStr">
        <is>
          <t>Data confidentiality and risk-based auth</t>
        </is>
      </c>
      <c r="E46" s="7" t="inlineStr">
        <is>
          <t>1. Verify confidentiality controls (encryption, masking, access controls).
2. Confirm data classification applied.
3. Verify risk-based step-up authentication.
4. Check customers receive timely transaction notifications.</t>
        </is>
      </c>
      <c r="F46" s="7" t="inlineStr">
        <is>
          <t>Data classification scheme; Encryption and masking config; Risk-based auth rules; Customer notification samples</t>
        </is>
      </c>
      <c r="G46" s="7" t="inlineStr">
        <is>
          <t>Inspection</t>
        </is>
      </c>
      <c r="H46" s="7" t="inlineStr"/>
      <c r="I46" s="7" t="inlineStr"/>
      <c r="J46" s="7" t="inlineStr"/>
      <c r="K46" s="7" t="inlineStr"/>
      <c r="L46" s="7" t="inlineStr"/>
      <c r="M46" s="7" t="inlineStr"/>
    </row>
    <row r="47">
      <c r="A47" s="12" t="inlineStr">
        <is>
          <t>Item 2(e) — Mobile Device Risks</t>
        </is>
      </c>
      <c r="B47" s="13" t="n"/>
      <c r="C47" s="13" t="n"/>
      <c r="D47" s="13" t="n"/>
      <c r="E47" s="13" t="n"/>
      <c r="F47" s="13" t="n"/>
      <c r="G47" s="13" t="n"/>
      <c r="H47" s="13" t="n"/>
      <c r="I47" s="13" t="n"/>
      <c r="J47" s="13" t="n"/>
      <c r="K47" s="13" t="n"/>
      <c r="L47" s="13" t="n"/>
      <c r="M47" s="13" t="n"/>
    </row>
    <row r="48">
      <c r="A48" s="14" t="inlineStr">
        <is>
          <t>Mobile apps require additional protections due to the untrusted device environment. Expect jailbreak detection, secure storage, certificate pinning, fake app monitoring. Mobile-specific attacks bypass server-side controls.</t>
        </is>
      </c>
      <c r="B48" s="15" t="n"/>
      <c r="C48" s="15" t="n"/>
      <c r="D48" s="15" t="n"/>
      <c r="E48" s="15" t="n"/>
      <c r="F48" s="15" t="n"/>
      <c r="G48" s="15" t="n"/>
      <c r="H48" s="15" t="n"/>
      <c r="I48" s="15" t="n"/>
      <c r="J48" s="15" t="n"/>
      <c r="K48" s="15" t="n"/>
      <c r="L48" s="15" t="n"/>
      <c r="M48" s="15" t="n"/>
    </row>
    <row r="49">
      <c r="A49" s="7" t="inlineStr">
        <is>
          <t>PD-26</t>
        </is>
      </c>
      <c r="B49" s="7" t="inlineStr">
        <is>
          <t>WORKLOAD</t>
        </is>
      </c>
      <c r="C49" s="7" t="inlineStr">
        <is>
          <t>Mobile Device Security</t>
        </is>
      </c>
      <c r="D49" s="7" t="inlineStr">
        <is>
          <t>Mobile app security baseline</t>
        </is>
      </c>
      <c r="E49" s="7" t="inlineStr">
        <is>
          <t>1. Confirm minimum OS version enforced and jailbreak/root detection.
2. Review most recent mobile pen test.
3. Verify vulnerabilities remediated.
4. Confirm secure E2E communication (cert pinning, TLS 1.2+).</t>
        </is>
      </c>
      <c r="F49" s="7" t="inlineStr">
        <is>
          <t>OS version enforcement; Jailbreak/root detection; Mobile pen test report; Remediation evidence; Communication security config</t>
        </is>
      </c>
      <c r="G49" s="7" t="inlineStr">
        <is>
          <t>Inspection</t>
        </is>
      </c>
      <c r="H49" s="7" t="inlineStr"/>
      <c r="I49" s="7" t="inlineStr"/>
      <c r="J49" s="7" t="inlineStr"/>
      <c r="K49" s="7" t="inlineStr"/>
      <c r="L49" s="7" t="inlineStr"/>
      <c r="M49" s="7" t="inlineStr"/>
    </row>
    <row r="50">
      <c r="A50" s="7" t="inlineStr">
        <is>
          <t>PD-27</t>
        </is>
      </c>
      <c r="B50" s="7" t="inlineStr">
        <is>
          <t>WORKLOAD</t>
        </is>
      </c>
      <c r="C50" s="7" t="inlineStr">
        <is>
          <t>Mobile Device Security</t>
        </is>
      </c>
      <c r="D50" s="7" t="inlineStr">
        <is>
          <t>Mobile data protection</t>
        </is>
      </c>
      <c r="E50" s="7" t="inlineStr">
        <is>
          <t>1. Verify sensitive data not stored on device or only in secure enclaves.
2. Confirm cache/logs sanitised.
3. Verify clipboard access restricted.
4. Check remote wipe capability.</t>
        </is>
      </c>
      <c r="F50" s="7" t="inlineStr">
        <is>
          <t>Mobile app security architecture; Data storage review; Secure enclave usage; Remote wipe documentation</t>
        </is>
      </c>
      <c r="G50" s="7" t="inlineStr">
        <is>
          <t>Inspection</t>
        </is>
      </c>
      <c r="H50" s="7" t="inlineStr"/>
      <c r="I50" s="7" t="inlineStr"/>
      <c r="J50" s="7" t="inlineStr"/>
      <c r="K50" s="7" t="inlineStr"/>
      <c r="L50" s="7" t="inlineStr"/>
      <c r="M50" s="7" t="inlineStr"/>
    </row>
    <row r="51">
      <c r="A51" s="7" t="inlineStr">
        <is>
          <t>PD-28</t>
        </is>
      </c>
      <c r="B51" s="7" t="inlineStr">
        <is>
          <t>WORKLOAD</t>
        </is>
      </c>
      <c r="C51" s="7" t="inlineStr">
        <is>
          <t>Mobile Device Security</t>
        </is>
      </c>
      <c r="D51" s="7" t="inlineStr">
        <is>
          <t>Transaction notification and codes</t>
        </is>
      </c>
      <c r="E51" s="7" t="inlineStr">
        <is>
          <t>1. Verify transaction notifications (push, SMS, email).
2. Verify suspicious transaction alerts.
3. Confirm unique per-transaction codes (TAC, OTP).
4. Verify code expiry (2-5 min) and single-use.</t>
        </is>
      </c>
      <c r="F51" s="7" t="inlineStr">
        <is>
          <t>Transaction notification config; Suspicious alert rules; Code generation mechanism; Code expiry config</t>
        </is>
      </c>
      <c r="G51" s="7" t="inlineStr">
        <is>
          <t>Inspection</t>
        </is>
      </c>
      <c r="H51" s="7" t="inlineStr"/>
      <c r="I51" s="7" t="inlineStr"/>
      <c r="J51" s="7" t="inlineStr"/>
      <c r="K51" s="7" t="inlineStr"/>
      <c r="L51" s="7" t="inlineStr"/>
      <c r="M51" s="7" t="inlineStr"/>
    </row>
    <row r="52">
      <c r="A52" s="7" t="inlineStr">
        <is>
          <t>PD-29</t>
        </is>
      </c>
      <c r="B52" s="7" t="inlineStr">
        <is>
          <t>WORKLOAD</t>
        </is>
      </c>
      <c r="C52" s="7" t="inlineStr">
        <is>
          <t>Mobile Device Security</t>
        </is>
      </c>
      <c r="D52" s="7" t="inlineStr">
        <is>
          <t>App distribution and fake app monitoring</t>
        </is>
      </c>
      <c r="E52" s="7" t="inlineStr">
        <is>
          <t>1. Verify publishing access controls.
2. Confirm monitoring for fake/fraudulent apps.
3. Verify takedown process exists and exercised.
4. Review fake app incident history.</t>
        </is>
      </c>
      <c r="F52" s="7" t="inlineStr">
        <is>
          <t>Publishing access controls; Fake app monitoring service; Takedown process docs; Fake app incident log</t>
        </is>
      </c>
      <c r="G52" s="7" t="inlineStr">
        <is>
          <t>Inspection</t>
        </is>
      </c>
      <c r="H52" s="7" t="inlineStr"/>
      <c r="I52" s="7" t="inlineStr"/>
      <c r="J52" s="7" t="inlineStr"/>
      <c r="K52" s="7" t="inlineStr"/>
      <c r="L52" s="7" t="inlineStr"/>
      <c r="M52" s="7" t="inlineStr"/>
    </row>
  </sheetData>
  <mergeCells count="22">
    <mergeCell ref="A14:M14"/>
    <mergeCell ref="A22:M22"/>
    <mergeCell ref="A17:M17"/>
    <mergeCell ref="A38:M38"/>
    <mergeCell ref="A10:M10"/>
    <mergeCell ref="A34:M34"/>
    <mergeCell ref="A48:M48"/>
    <mergeCell ref="A15:M15"/>
    <mergeCell ref="A11:M11"/>
    <mergeCell ref="A6:M6"/>
    <mergeCell ref="A7:M7"/>
    <mergeCell ref="A41:M41"/>
    <mergeCell ref="A2:M2"/>
    <mergeCell ref="A37:M37"/>
    <mergeCell ref="A27:M27"/>
    <mergeCell ref="A18:M18"/>
    <mergeCell ref="A3:M3"/>
    <mergeCell ref="A21:M21"/>
    <mergeCell ref="A26:M26"/>
    <mergeCell ref="A33:M33"/>
    <mergeCell ref="A47:M47"/>
    <mergeCell ref="A42:M4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8" customWidth="1" min="1" max="1"/>
    <col width="50" customWidth="1" min="2" max="2"/>
    <col width="20" customWidth="1" min="3" max="3"/>
    <col width="15" customWidth="1" min="4" max="4"/>
    <col width="30" customWidth="1" min="5" max="5"/>
  </cols>
  <sheetData>
    <row r="1">
      <c r="A1" s="1" t="inlineStr">
        <is>
          <t>REPORTING AND ATTESTATION CHECKLIST</t>
        </is>
      </c>
    </row>
    <row r="3">
      <c r="A3" s="9" t="inlineStr">
        <is>
          <t>Step</t>
        </is>
      </c>
      <c r="B3" s="9" t="inlineStr">
        <is>
          <t>Activity</t>
        </is>
      </c>
      <c r="C3" s="9" t="inlineStr">
        <is>
          <t>Responsible</t>
        </is>
      </c>
      <c r="D3" s="9" t="inlineStr">
        <is>
          <t>Status</t>
        </is>
      </c>
      <c r="E3" s="9" t="inlineStr">
        <is>
          <t>Notes</t>
        </is>
      </c>
    </row>
    <row r="4">
      <c r="A4" s="7" t="inlineStr">
        <is>
          <t>R-01</t>
        </is>
      </c>
      <c r="B4" s="7" t="inlineStr">
        <is>
          <t>Consolidate all test results — compile conclusions from all assessment sheets</t>
        </is>
      </c>
      <c r="C4" s="7" t="inlineStr"/>
      <c r="D4" s="7" t="inlineStr"/>
      <c r="E4" s="7" t="inlineStr"/>
    </row>
    <row r="5">
      <c r="A5" s="7" t="inlineStr">
        <is>
          <t>R-02</t>
        </is>
      </c>
      <c r="B5" s="7" t="inlineStr">
        <is>
          <t>Assign risk ratings (High/Medium/Low) to each finding based on likelihood and impact</t>
        </is>
      </c>
      <c r="C5" s="7" t="inlineStr"/>
      <c r="D5" s="7" t="inlineStr"/>
      <c r="E5" s="7" t="inlineStr"/>
    </row>
    <row r="6">
      <c r="A6" s="7" t="inlineStr">
        <is>
          <t>R-03</t>
        </is>
      </c>
      <c r="B6" s="7" t="inlineStr">
        <is>
          <t>Map findings to specific regulatory references (Appendix clauses, Part D items)</t>
        </is>
      </c>
      <c r="C6" s="7" t="inlineStr"/>
      <c r="D6" s="7" t="inlineStr"/>
      <c r="E6" s="7" t="inlineStr"/>
    </row>
    <row r="7">
      <c r="A7" s="7" t="inlineStr">
        <is>
          <t>R-04</t>
        </is>
      </c>
      <c r="B7" s="7" t="inlineStr">
        <is>
          <t>Draft recommendations with specific remediation steps, responsible parties, and timelines</t>
        </is>
      </c>
      <c r="C7" s="7" t="inlineStr"/>
      <c r="D7" s="7" t="inlineStr"/>
      <c r="E7" s="7" t="inlineStr"/>
    </row>
    <row r="8">
      <c r="A8" s="7" t="inlineStr">
        <is>
          <t>R-05</t>
        </is>
      </c>
      <c r="B8" s="7" t="inlineStr">
        <is>
          <t>Distinguish must-fix-before-go-live findings from post-launch improvements (for pre-impl)</t>
        </is>
      </c>
      <c r="C8" s="7" t="inlineStr"/>
      <c r="D8" s="7" t="inlineStr"/>
      <c r="E8" s="7" t="inlineStr"/>
    </row>
    <row r="9">
      <c r="A9" s="7" t="inlineStr">
        <is>
          <t>R-06</t>
        </is>
      </c>
      <c r="B9" s="7" t="inlineStr">
        <is>
          <t>Conduct quality assurance / peer review of working papers and findings</t>
        </is>
      </c>
      <c r="C9" s="7" t="inlineStr"/>
      <c r="D9" s="7" t="inlineStr"/>
      <c r="E9" s="7" t="inlineStr"/>
    </row>
    <row r="10">
      <c r="A10" s="7" t="inlineStr">
        <is>
          <t>R-07</t>
        </is>
      </c>
      <c r="B10" s="7" t="inlineStr">
        <is>
          <t>Conduct findings walkthrough with FI management</t>
        </is>
      </c>
      <c r="C10" s="7" t="inlineStr"/>
      <c r="D10" s="7" t="inlineStr"/>
      <c r="E10" s="7" t="inlineStr"/>
    </row>
    <row r="11">
      <c r="A11" s="7" t="inlineStr">
        <is>
          <t>R-08</t>
        </is>
      </c>
      <c r="B11" s="7" t="inlineStr">
        <is>
          <t>Incorporate management responses and agreed action plans</t>
        </is>
      </c>
      <c r="C11" s="7" t="inlineStr"/>
      <c r="D11" s="7" t="inlineStr"/>
      <c r="E11" s="7" t="inlineStr"/>
    </row>
    <row r="12">
      <c r="A12" s="7" t="inlineStr">
        <is>
          <t>R-09</t>
        </is>
      </c>
      <c r="B12" s="7" t="inlineStr">
        <is>
          <t>Form Part C attestation opinion: Type A (Clean), Type B (With Exceptions), or Type C (Adverse)</t>
        </is>
      </c>
      <c r="C12" s="7" t="inlineStr"/>
      <c r="D12" s="7" t="inlineStr"/>
      <c r="E12" s="7" t="inlineStr"/>
    </row>
    <row r="13">
      <c r="A13" s="7" t="inlineStr">
        <is>
          <t>R-10</t>
        </is>
      </c>
      <c r="B13" s="7" t="inlineStr">
        <is>
          <t>Prepare the formal report in Appendix 7 Part A format</t>
        </is>
      </c>
      <c r="C13" s="7" t="inlineStr"/>
      <c r="D13" s="7" t="inlineStr"/>
      <c r="E13" s="7" t="inlineStr"/>
    </row>
    <row r="14">
      <c r="A14" s="7" t="inlineStr">
        <is>
          <t>R-11</t>
        </is>
      </c>
      <c r="B14" s="7" t="inlineStr">
        <is>
          <t>Confirm independence declaration and Part C compliance statement</t>
        </is>
      </c>
      <c r="C14" s="7" t="inlineStr"/>
      <c r="D14" s="7" t="inlineStr"/>
      <c r="E14" s="7" t="inlineStr"/>
    </row>
    <row r="15">
      <c r="A15" s="7" t="inlineStr">
        <is>
          <t>R-12</t>
        </is>
      </c>
      <c r="B15" s="7" t="inlineStr">
        <is>
          <t>Obtain FI management sign-off on report and management action plans</t>
        </is>
      </c>
      <c r="C15" s="7" t="inlineStr"/>
      <c r="D15" s="7" t="inlineStr"/>
      <c r="E15" s="7" t="inlineStr"/>
    </row>
    <row r="16">
      <c r="A16" s="7" t="inlineStr">
        <is>
          <t>R-13</t>
        </is>
      </c>
      <c r="B16" s="7" t="inlineStr">
        <is>
          <t>Prepare executive summary for designated board committee (per 8.3)</t>
        </is>
      </c>
      <c r="C16" s="7" t="inlineStr"/>
      <c r="D16" s="7" t="inlineStr"/>
      <c r="E16" s="7" t="inlineStr"/>
    </row>
    <row r="17">
      <c r="A17" s="7" t="inlineStr">
        <is>
          <t>R-14</t>
        </is>
      </c>
      <c r="B17" s="7" t="inlineStr">
        <is>
          <t>Attend board committee meeting to present findings (if required)</t>
        </is>
      </c>
      <c r="C17" s="7" t="inlineStr"/>
      <c r="D17" s="7" t="inlineStr"/>
      <c r="E17" s="7" t="inlineStr"/>
    </row>
    <row r="18">
      <c r="A18" s="7" t="inlineStr">
        <is>
          <t>R-15</t>
        </is>
      </c>
      <c r="B18" s="7" t="inlineStr">
        <is>
          <t>Document board committee directives and incorporate into final report</t>
        </is>
      </c>
      <c r="C18" s="7" t="inlineStr"/>
      <c r="D18" s="7" t="inlineStr"/>
      <c r="E18" s="7" t="inlineStr"/>
    </row>
    <row r="19">
      <c r="A19" s="7" t="inlineStr">
        <is>
          <t>R-16</t>
        </is>
      </c>
      <c r="B19" s="7" t="inlineStr">
        <is>
          <t>Issue final signed report</t>
        </is>
      </c>
      <c r="C19" s="7" t="inlineStr"/>
      <c r="D19" s="7" t="inlineStr"/>
      <c r="E19" s="7" t="inlineStr"/>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6" customWidth="1" min="1" max="1"/>
    <col width="20" customWidth="1" min="2" max="2"/>
    <col width="45" customWidth="1" min="3" max="3"/>
    <col width="40" customWidth="1" min="4" max="4"/>
    <col width="15" customWidth="1" min="5" max="5"/>
    <col width="30" customWidth="1" min="6" max="6"/>
  </cols>
  <sheetData>
    <row r="1">
      <c r="A1" s="1" t="inlineStr">
        <is>
          <t>APPENDIX 7 PART C — IESP SELF-ASSESSMENT</t>
        </is>
      </c>
    </row>
    <row r="2">
      <c r="A2" s="5" t="inlineStr">
        <is>
          <t>The IESP must comply with these 6 requirements. Complete this self-assessment before issuing the report.</t>
        </is>
      </c>
    </row>
    <row r="4">
      <c r="A4" s="9" t="inlineStr">
        <is>
          <t>#</t>
        </is>
      </c>
      <c r="B4" s="9" t="inlineStr">
        <is>
          <t>Requirement</t>
        </is>
      </c>
      <c r="C4" s="9" t="inlineStr">
        <is>
          <t>Assessment Criteria</t>
        </is>
      </c>
      <c r="D4" s="9" t="inlineStr">
        <is>
          <t>Evidence / Justification</t>
        </is>
      </c>
      <c r="E4" s="9" t="inlineStr">
        <is>
          <t>Compliant?</t>
        </is>
      </c>
      <c r="F4" s="9" t="inlineStr">
        <is>
          <t>Notes</t>
        </is>
      </c>
    </row>
    <row r="5">
      <c r="A5" s="7" t="inlineStr">
        <is>
          <t>1</t>
        </is>
      </c>
      <c r="B5" s="7" t="inlineStr">
        <is>
          <t>Independence</t>
        </is>
      </c>
      <c r="C5" s="7" t="inlineStr">
        <is>
          <t>The IESP is independent of the FI's technology operations and the systems/services being assessed. No conflicts of interest exist between the IESP and the FI.</t>
        </is>
      </c>
      <c r="D5" s="7" t="inlineStr"/>
      <c r="E5" s="7" t="inlineStr"/>
      <c r="F5" s="7" t="inlineStr"/>
    </row>
    <row r="6">
      <c r="A6" s="7" t="inlineStr">
        <is>
          <t>2</t>
        </is>
      </c>
      <c r="B6" s="7" t="inlineStr">
        <is>
          <t>Competence</t>
        </is>
      </c>
      <c r="C6" s="7" t="inlineStr">
        <is>
          <t>The IESP team has relevant professional qualifications (CISA, CISSP, CCSP, CSP-specific certs), certifications, and experience in the subject matter being assessed.</t>
        </is>
      </c>
      <c r="D6" s="7" t="inlineStr"/>
      <c r="E6" s="7" t="inlineStr"/>
      <c r="F6" s="7" t="inlineStr"/>
    </row>
    <row r="7">
      <c r="A7" s="7" t="inlineStr">
        <is>
          <t>3</t>
        </is>
      </c>
      <c r="B7" s="7" t="inlineStr">
        <is>
          <t>Scope</t>
        </is>
      </c>
      <c r="C7" s="7" t="inlineStr">
        <is>
          <t>The assessment covers ALL areas specified in the relevant appendix (Appendix 10, Appendix 9, or Part D as applicable). No required areas were excluded without documented justification.</t>
        </is>
      </c>
      <c r="D7" s="7" t="inlineStr"/>
      <c r="E7" s="7" t="inlineStr"/>
      <c r="F7" s="7" t="inlineStr"/>
    </row>
    <row r="8">
      <c r="A8" s="7" t="inlineStr">
        <is>
          <t>4</t>
        </is>
      </c>
      <c r="B8" s="7" t="inlineStr">
        <is>
          <t>Methodology</t>
        </is>
      </c>
      <c r="C8" s="7" t="inlineStr">
        <is>
          <t>The IESP uses a systematic, risk-based assessment methodology with clear criteria for evaluating controls. The methodology is documented and consistently applied.</t>
        </is>
      </c>
      <c r="D8" s="7" t="inlineStr"/>
      <c r="E8" s="7" t="inlineStr"/>
      <c r="F8" s="7" t="inlineStr"/>
    </row>
    <row r="9">
      <c r="A9" s="7" t="inlineStr">
        <is>
          <t>5</t>
        </is>
      </c>
      <c r="B9" s="7" t="inlineStr">
        <is>
          <t>Reporting</t>
        </is>
      </c>
      <c r="C9" s="7" t="inlineStr">
        <is>
          <t>Findings are reported in the Appendix 7 Part A format with clear risk ratings and actionable recommendations. The report is complete, accurate, and traceable to evidence.</t>
        </is>
      </c>
      <c r="D9" s="7" t="inlineStr"/>
      <c r="E9" s="7" t="inlineStr"/>
      <c r="F9" s="7" t="inlineStr"/>
    </row>
    <row r="10">
      <c r="A10" s="7" t="inlineStr">
        <is>
          <t>6</t>
        </is>
      </c>
      <c r="B10" s="7" t="inlineStr">
        <is>
          <t>Quality Assurance</t>
        </is>
      </c>
      <c r="C10" s="7" t="inlineStr">
        <is>
          <t>Internal QA processes were followed, including peer review of assessment work by a qualified reviewer who did not perform the assessment.</t>
        </is>
      </c>
      <c r="D10" s="7" t="inlineStr"/>
      <c r="E10" s="7" t="inlineStr"/>
      <c r="F10" s="7" t="inlineStr"/>
    </row>
    <row r="12">
      <c r="A12" s="2" t="inlineStr">
        <is>
          <t>SIGN-OFF</t>
        </is>
      </c>
    </row>
    <row r="13">
      <c r="A13" s="3" t="inlineStr">
        <is>
          <t>Lead Assessor:</t>
        </is>
      </c>
      <c r="B13" s="4" t="inlineStr">
        <is>
          <t>________________________</t>
        </is>
      </c>
      <c r="D13" s="3" t="inlineStr">
        <is>
          <t>Date:</t>
        </is>
      </c>
      <c r="E13" s="4" t="inlineStr">
        <is>
          <t>______________</t>
        </is>
      </c>
    </row>
    <row r="14">
      <c r="A14" s="3" t="inlineStr">
        <is>
          <t>Quality Reviewer:</t>
        </is>
      </c>
      <c r="B14" s="4" t="inlineStr">
        <is>
          <t>________________________</t>
        </is>
      </c>
      <c r="D14" s="3" t="inlineStr">
        <is>
          <t>Date:</t>
        </is>
      </c>
      <c r="E14" s="4" t="inlineStr">
        <is>
          <t>______________</t>
        </is>
      </c>
    </row>
  </sheetData>
  <mergeCells count="3">
    <mergeCell ref="A2:F2"/>
    <mergeCell ref="A1:F1"/>
    <mergeCell ref="A12:F1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35" customWidth="1" min="1" max="1"/>
    <col width="16" customWidth="1" min="2" max="2"/>
    <col width="20" customWidth="1" min="3" max="3"/>
    <col width="18" customWidth="1" min="4" max="4"/>
    <col width="14" customWidth="1" min="5" max="5"/>
    <col width="16" customWidth="1" min="6" max="6"/>
    <col width="16" customWidth="1" min="7" max="7"/>
    <col width="18" customWidth="1" min="8" max="8"/>
  </cols>
  <sheetData>
    <row r="1">
      <c r="A1" s="1" t="inlineStr">
        <is>
          <t>SCORING DASHBOARD</t>
        </is>
      </c>
    </row>
    <row r="3">
      <c r="A3" s="2" t="inlineStr">
        <is>
          <t>OVERALL SUMMARY</t>
        </is>
      </c>
    </row>
    <row r="4">
      <c r="A4" s="9" t="inlineStr">
        <is>
          <t>Metric</t>
        </is>
      </c>
      <c r="B4" s="9" t="inlineStr">
        <is>
          <t>Value</t>
        </is>
      </c>
    </row>
    <row r="5">
      <c r="A5" s="6" t="inlineStr">
        <is>
          <t>Total Compliant</t>
        </is>
      </c>
      <c r="B5" s="16">
        <f>SUM(B19:B21)</f>
        <v/>
      </c>
    </row>
    <row r="6">
      <c r="A6" s="6" t="inlineStr">
        <is>
          <t>Total Partially Compliant</t>
        </is>
      </c>
      <c r="B6" s="17">
        <f>SUM(C19:C21)</f>
        <v/>
      </c>
    </row>
    <row r="7">
      <c r="A7" s="6" t="inlineStr">
        <is>
          <t>Total Non-Compliant</t>
        </is>
      </c>
      <c r="B7" s="18">
        <f>SUM(D19:D21)</f>
        <v/>
      </c>
    </row>
    <row r="8">
      <c r="A8" s="6" t="inlineStr">
        <is>
          <t>Total N/A</t>
        </is>
      </c>
      <c r="B8" s="19">
        <f>SUM(E19:E21)</f>
        <v/>
      </c>
    </row>
    <row r="9">
      <c r="A9" s="6" t="inlineStr">
        <is>
          <t>Total Not Assessed</t>
        </is>
      </c>
      <c r="B9" s="10">
        <f>SUM(F19:F21)</f>
        <v/>
      </c>
    </row>
    <row r="10">
      <c r="A10" s="6" t="inlineStr">
        <is>
          <t>Total Test Steps</t>
        </is>
      </c>
      <c r="B10" s="10">
        <f>SUM(G19:G21)</f>
        <v/>
      </c>
    </row>
    <row r="11">
      <c r="A11" s="6" t="inlineStr">
        <is>
          <t>Overall Compliance %</t>
        </is>
      </c>
      <c r="B11" s="20">
        <f>IF((B10-B8-B9)=0,"—",B5/(B10-B8-B9))</f>
        <v/>
      </c>
    </row>
    <row r="13">
      <c r="A13" s="2" t="inlineStr">
        <is>
          <t>PART C OPINION INDICATOR</t>
        </is>
      </c>
    </row>
    <row r="14">
      <c r="A14" s="6" t="inlineStr">
        <is>
          <t>Opinion Type</t>
        </is>
      </c>
      <c r="B14" s="15">
        <f>IF(B7&gt;5,"Type C (Adverse)",IF(B7&gt;0,"Type B (With Exceptions)",IF(B6&lt;=3,"Type A (Clean)","Type B (With Exceptions)")))</f>
        <v/>
      </c>
    </row>
    <row r="15">
      <c r="A15" s="21" t="inlineStr">
        <is>
          <t>Criteria:</t>
        </is>
      </c>
      <c r="B15" s="14" t="inlineStr">
        <is>
          <t>Type A (Clean): NC=0 and PC&lt;=3  |  Type B (With Exceptions): NC&gt;0 and NC&lt;=5  |  Type C (Adverse): NC&gt;5</t>
        </is>
      </c>
    </row>
    <row r="17">
      <c r="A17" s="2" t="inlineStr">
        <is>
          <t>PER-SHEET BREAKDOWN</t>
        </is>
      </c>
    </row>
    <row r="18">
      <c r="A18" s="11" t="inlineStr">
        <is>
          <t>Sheet</t>
        </is>
      </c>
      <c r="B18" s="11" t="inlineStr">
        <is>
          <t>Compliant</t>
        </is>
      </c>
      <c r="C18" s="11" t="inlineStr">
        <is>
          <t>Partially Compliant</t>
        </is>
      </c>
      <c r="D18" s="11" t="inlineStr">
        <is>
          <t>Non-Compliant</t>
        </is>
      </c>
      <c r="E18" s="11" t="inlineStr">
        <is>
          <t>N/A</t>
        </is>
      </c>
      <c r="F18" s="11" t="inlineStr">
        <is>
          <t>Not Assessed</t>
        </is>
      </c>
      <c r="G18" s="11" t="inlineStr">
        <is>
          <t>Total Steps</t>
        </is>
      </c>
      <c r="H18" s="11" t="inlineStr">
        <is>
          <t>Compliance %</t>
        </is>
      </c>
    </row>
    <row r="19">
      <c r="A19" s="6" t="inlineStr">
        <is>
          <t>App 10 Part A - Governance</t>
        </is>
      </c>
      <c r="B19" s="16">
        <f>COUNTIF('App 10 Part A - Governance'!L:L,"Compliant")</f>
        <v/>
      </c>
      <c r="C19" s="17">
        <f>COUNTIF('App 10 Part A - Governance'!L:L,"Partially Compliant")</f>
        <v/>
      </c>
      <c r="D19" s="18">
        <f>COUNTIF('App 10 Part A - Governance'!L:L,"Non-Compliant")</f>
        <v/>
      </c>
      <c r="E19" s="19">
        <f>COUNTIF('App 10 Part A - Governance'!L:L,"N/A")</f>
        <v/>
      </c>
      <c r="F19" s="10">
        <f>COUNTIFS('App 10 Part A - Governance'!A:A,"&lt;&gt;",'App 10 Part A - Governance'!L:L,"=")-COUNTIF('App 10 Part A - Governance'!A:A,"Ref")</f>
        <v/>
      </c>
      <c r="G19" s="10">
        <f>COUNTA('App 10 Part A - Governance'!A:A)-COUNTIF('App 10 Part A - Governance'!A:A,"Ref")-COUNTBLANK('App 10 Part A - Governance'!A1)</f>
        <v/>
      </c>
      <c r="H19" s="20">
        <f>IF((G19-E19-F19)=0,"—",B19/(G19-E19-F19))</f>
        <v/>
      </c>
    </row>
    <row r="20">
      <c r="A20" s="6" t="inlineStr">
        <is>
          <t>App 10 Part B - Controls</t>
        </is>
      </c>
      <c r="B20" s="16">
        <f>COUNTIF('App 10 Part B - Controls'!L:L,"Compliant")</f>
        <v/>
      </c>
      <c r="C20" s="17">
        <f>COUNTIF('App 10 Part B - Controls'!L:L,"Partially Compliant")</f>
        <v/>
      </c>
      <c r="D20" s="18">
        <f>COUNTIF('App 10 Part B - Controls'!L:L,"Non-Compliant")</f>
        <v/>
      </c>
      <c r="E20" s="19">
        <f>COUNTIF('App 10 Part B - Controls'!L:L,"N/A")</f>
        <v/>
      </c>
      <c r="F20" s="10">
        <f>COUNTIFS('App 10 Part B - Controls'!A:A,"&lt;&gt;",'App 10 Part B - Controls'!L:L,"=")-COUNTIF('App 10 Part B - Controls'!A:A,"Ref")</f>
        <v/>
      </c>
      <c r="G20" s="10">
        <f>COUNTA('App 10 Part B - Controls'!A:A)-COUNTIF('App 10 Part B - Controls'!A:A,"Ref")-COUNTBLANK('App 10 Part B - Controls'!A1)</f>
        <v/>
      </c>
      <c r="H20" s="20">
        <f>IF((G20-E20-F20)=0,"—",B20/(G20-E20-F20))</f>
        <v/>
      </c>
    </row>
    <row r="21">
      <c r="A21" s="6" t="inlineStr">
        <is>
          <t>Appendix 7 Part D</t>
        </is>
      </c>
      <c r="B21" s="16">
        <f>COUNTIF('Appendix 7 Part D'!L:L,"Compliant")</f>
        <v/>
      </c>
      <c r="C21" s="17">
        <f>COUNTIF('Appendix 7 Part D'!L:L,"Partially Compliant")</f>
        <v/>
      </c>
      <c r="D21" s="18">
        <f>COUNTIF('Appendix 7 Part D'!L:L,"Non-Compliant")</f>
        <v/>
      </c>
      <c r="E21" s="19">
        <f>COUNTIF('Appendix 7 Part D'!L:L,"N/A")</f>
        <v/>
      </c>
      <c r="F21" s="10">
        <f>COUNTIFS('Appendix 7 Part D'!A:A,"&lt;&gt;",'Appendix 7 Part D'!L:L,"=")-COUNTIF('Appendix 7 Part D'!A:A,"Ref")</f>
        <v/>
      </c>
      <c r="G21" s="10">
        <f>COUNTA('Appendix 7 Part D'!A:A)-COUNTIF('Appendix 7 Part D'!A:A,"Ref")-COUNTBLANK('Appendix 7 Part D'!A1)</f>
        <v/>
      </c>
      <c r="H21" s="20">
        <f>IF((G21-E21-F21)=0,"—",B21/(G21-E21-F21))</f>
        <v/>
      </c>
    </row>
    <row r="24">
      <c r="A24" s="2" t="inlineStr">
        <is>
          <t>LEVEL BREAKDOWN</t>
        </is>
      </c>
    </row>
    <row r="25">
      <c r="A25" s="11" t="inlineStr">
        <is>
          <t>Level</t>
        </is>
      </c>
      <c r="B25" s="11" t="inlineStr">
        <is>
          <t>Compliant</t>
        </is>
      </c>
      <c r="C25" s="11" t="inlineStr">
        <is>
          <t>Partially Compliant</t>
        </is>
      </c>
      <c r="D25" s="11" t="inlineStr">
        <is>
          <t>Non-Compliant</t>
        </is>
      </c>
      <c r="E25" s="11" t="inlineStr">
        <is>
          <t>N/A</t>
        </is>
      </c>
      <c r="F25" s="11" t="inlineStr">
        <is>
          <t>Not Assessed</t>
        </is>
      </c>
      <c r="G25" s="11" t="inlineStr">
        <is>
          <t>Total</t>
        </is>
      </c>
      <c r="H25" s="11" t="inlineStr"/>
    </row>
    <row r="26">
      <c r="A26" s="6" t="inlineStr">
        <is>
          <t>ORG</t>
        </is>
      </c>
      <c r="B26" s="16">
        <f>COUNTIFS('App 10 Part A - Governance'!B:B,"ORG",'App 10 Part A - Governance'!L:L,"Compliant")+COUNTIFS('App 10 Part B - Controls'!B:B,"ORG",'App 10 Part B - Controls'!L:L,"Compliant")+COUNTIFS('Appendix 7 Part D'!B:B,"ORG",'Appendix 7 Part D'!L:L,"Compliant")</f>
        <v/>
      </c>
      <c r="C26" s="17">
        <f>COUNTIFS('App 10 Part A - Governance'!B:B,"ORG",'App 10 Part A - Governance'!L:L,"Partially Compliant")+COUNTIFS('App 10 Part B - Controls'!B:B,"ORG",'App 10 Part B - Controls'!L:L,"Partially Compliant")+COUNTIFS('Appendix 7 Part D'!B:B,"ORG",'Appendix 7 Part D'!L:L,"Partially Compliant")</f>
        <v/>
      </c>
      <c r="D26" s="18">
        <f>COUNTIFS('App 10 Part A - Governance'!B:B,"ORG",'App 10 Part A - Governance'!L:L,"Non-Compliant")+COUNTIFS('App 10 Part B - Controls'!B:B,"ORG",'App 10 Part B - Controls'!L:L,"Non-Compliant")+COUNTIFS('Appendix 7 Part D'!B:B,"ORG",'Appendix 7 Part D'!L:L,"Non-Compliant")</f>
        <v/>
      </c>
      <c r="E26" s="19">
        <f>COUNTIFS('App 10 Part A - Governance'!B:B,"ORG",'App 10 Part A - Governance'!L:L,"N/A")+COUNTIFS('App 10 Part B - Controls'!B:B,"ORG",'App 10 Part B - Controls'!L:L,"N/A")+COUNTIFS('Appendix 7 Part D'!B:B,"ORG",'Appendix 7 Part D'!L:L,"N/A")</f>
        <v/>
      </c>
      <c r="F26" s="10">
        <f>COUNTIFS('App 10 Part A - Governance'!B:B,"ORG",'App 10 Part A - Governance'!L:L,"=")+COUNTIFS('App 10 Part B - Controls'!B:B,"ORG",'App 10 Part B - Controls'!L:L,"=")+COUNTIFS('Appendix 7 Part D'!B:B,"ORG",'Appendix 7 Part D'!L:L,"=")</f>
        <v/>
      </c>
      <c r="G26" s="10">
        <f>SUM(B26:F26)</f>
        <v/>
      </c>
    </row>
    <row r="27">
      <c r="A27" s="6" t="inlineStr">
        <is>
          <t>PLATFORM</t>
        </is>
      </c>
      <c r="B27" s="16">
        <f>COUNTIFS('App 10 Part A - Governance'!B:B,"PLATFORM",'App 10 Part A - Governance'!L:L,"Compliant")+COUNTIFS('App 10 Part B - Controls'!B:B,"PLATFORM",'App 10 Part B - Controls'!L:L,"Compliant")+COUNTIFS('Appendix 7 Part D'!B:B,"PLATFORM",'Appendix 7 Part D'!L:L,"Compliant")</f>
        <v/>
      </c>
      <c r="C27" s="17">
        <f>COUNTIFS('App 10 Part A - Governance'!B:B,"PLATFORM",'App 10 Part A - Governance'!L:L,"Partially Compliant")+COUNTIFS('App 10 Part B - Controls'!B:B,"PLATFORM",'App 10 Part B - Controls'!L:L,"Partially Compliant")+COUNTIFS('Appendix 7 Part D'!B:B,"PLATFORM",'Appendix 7 Part D'!L:L,"Partially Compliant")</f>
        <v/>
      </c>
      <c r="D27" s="18">
        <f>COUNTIFS('App 10 Part A - Governance'!B:B,"PLATFORM",'App 10 Part A - Governance'!L:L,"Non-Compliant")+COUNTIFS('App 10 Part B - Controls'!B:B,"PLATFORM",'App 10 Part B - Controls'!L:L,"Non-Compliant")+COUNTIFS('Appendix 7 Part D'!B:B,"PLATFORM",'Appendix 7 Part D'!L:L,"Non-Compliant")</f>
        <v/>
      </c>
      <c r="E27" s="19">
        <f>COUNTIFS('App 10 Part A - Governance'!B:B,"PLATFORM",'App 10 Part A - Governance'!L:L,"N/A")+COUNTIFS('App 10 Part B - Controls'!B:B,"PLATFORM",'App 10 Part B - Controls'!L:L,"N/A")+COUNTIFS('Appendix 7 Part D'!B:B,"PLATFORM",'Appendix 7 Part D'!L:L,"N/A")</f>
        <v/>
      </c>
      <c r="F27" s="10">
        <f>COUNTIFS('App 10 Part A - Governance'!B:B,"PLATFORM",'App 10 Part A - Governance'!L:L,"=")+COUNTIFS('App 10 Part B - Controls'!B:B,"PLATFORM",'App 10 Part B - Controls'!L:L,"=")+COUNTIFS('Appendix 7 Part D'!B:B,"PLATFORM",'Appendix 7 Part D'!L:L,"=")</f>
        <v/>
      </c>
      <c r="G27" s="10">
        <f>SUM(B27:F27)</f>
        <v/>
      </c>
    </row>
    <row r="28">
      <c r="A28" s="6" t="inlineStr">
        <is>
          <t>WORKLOAD</t>
        </is>
      </c>
      <c r="B28" s="16">
        <f>COUNTIFS('App 10 Part A - Governance'!B:B,"WORKLOAD",'App 10 Part A - Governance'!L:L,"Compliant")+COUNTIFS('App 10 Part B - Controls'!B:B,"WORKLOAD",'App 10 Part B - Controls'!L:L,"Compliant")+COUNTIFS('Appendix 7 Part D'!B:B,"WORKLOAD",'Appendix 7 Part D'!L:L,"Compliant")</f>
        <v/>
      </c>
      <c r="C28" s="17">
        <f>COUNTIFS('App 10 Part A - Governance'!B:B,"WORKLOAD",'App 10 Part A - Governance'!L:L,"Partially Compliant")+COUNTIFS('App 10 Part B - Controls'!B:B,"WORKLOAD",'App 10 Part B - Controls'!L:L,"Partially Compliant")+COUNTIFS('Appendix 7 Part D'!B:B,"WORKLOAD",'Appendix 7 Part D'!L:L,"Partially Compliant")</f>
        <v/>
      </c>
      <c r="D28" s="18">
        <f>COUNTIFS('App 10 Part A - Governance'!B:B,"WORKLOAD",'App 10 Part A - Governance'!L:L,"Non-Compliant")+COUNTIFS('App 10 Part B - Controls'!B:B,"WORKLOAD",'App 10 Part B - Controls'!L:L,"Non-Compliant")+COUNTIFS('Appendix 7 Part D'!B:B,"WORKLOAD",'Appendix 7 Part D'!L:L,"Non-Compliant")</f>
        <v/>
      </c>
      <c r="E28" s="19">
        <f>COUNTIFS('App 10 Part A - Governance'!B:B,"WORKLOAD",'App 10 Part A - Governance'!L:L,"N/A")+COUNTIFS('App 10 Part B - Controls'!B:B,"WORKLOAD",'App 10 Part B - Controls'!L:L,"N/A")+COUNTIFS('Appendix 7 Part D'!B:B,"WORKLOAD",'Appendix 7 Part D'!L:L,"N/A")</f>
        <v/>
      </c>
      <c r="F28" s="10">
        <f>COUNTIFS('App 10 Part A - Governance'!B:B,"WORKLOAD",'App 10 Part A - Governance'!L:L,"=")+COUNTIFS('App 10 Part B - Controls'!B:B,"WORKLOAD",'App 10 Part B - Controls'!L:L,"=")+COUNTIFS('Appendix 7 Part D'!B:B,"WORKLOAD",'Appendix 7 Part D'!L:L,"=")</f>
        <v/>
      </c>
      <c r="G28" s="10">
        <f>SUM(B28:F28)</f>
        <v/>
      </c>
    </row>
  </sheetData>
  <mergeCells count="6">
    <mergeCell ref="A3:H3"/>
    <mergeCell ref="A24:H24"/>
    <mergeCell ref="A13:B13"/>
    <mergeCell ref="B15:H15"/>
    <mergeCell ref="A1:H1"/>
    <mergeCell ref="A17:H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2026-03-31T05:01:48Z</dcterms:created>
  <dcterms:modified xmlns:dcterms="http://purl.org/dc/terms/" xmlns:xsi="http://www.w3.org/2001/XMLSchema-instance" xsi:type="dcterms:W3CDTF">2026-03-31T05:01:48Z</dcterms:modified>
</cp:coreProperties>
</file>