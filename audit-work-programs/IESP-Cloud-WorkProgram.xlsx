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hodology &amp; Approach" sheetId="1" state="visible" r:id="rId1"/>
    <sheet xmlns:r="http://schemas.openxmlformats.org/officeDocument/2006/relationships" name="Scoping" sheetId="2" state="visible" r:id="rId2"/>
    <sheet xmlns:r="http://schemas.openxmlformats.org/officeDocument/2006/relationships" name="Planning" sheetId="3" state="visible" r:id="rId3"/>
    <sheet xmlns:r="http://schemas.openxmlformats.org/officeDocument/2006/relationships" name="App 10 Part A - Governance" sheetId="4" state="visible" r:id="rId4"/>
    <sheet xmlns:r="http://schemas.openxmlformats.org/officeDocument/2006/relationships" name="App 10 Part B - Controls" sheetId="5" state="visible" r:id="rId5"/>
    <sheet xmlns:r="http://schemas.openxmlformats.org/officeDocument/2006/relationships" name="Appendix 7 Part D" sheetId="6" state="visible" r:id="rId6"/>
    <sheet xmlns:r="http://schemas.openxmlformats.org/officeDocument/2006/relationships" name="Reporting &amp; Attestation" sheetId="7" state="visible" r:id="rId7"/>
    <sheet xmlns:r="http://schemas.openxmlformats.org/officeDocument/2006/relationships" name="Part C Self-Assessment" sheetId="8" state="visible" r:id="rId8"/>
    <sheet xmlns:r="http://schemas.openxmlformats.org/officeDocument/2006/relationships" name="Scoring Dashboard"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2F5496"/>
      <sz val="14"/>
    </font>
    <font>
      <name val="Calibri"/>
      <b val="1"/>
      <color rgb="002F5496"/>
      <sz val="12"/>
    </font>
    <font>
      <name val="Calibri"/>
      <b val="1"/>
      <sz val="10"/>
    </font>
    <font>
      <name val="Calibri"/>
      <sz val="10"/>
    </font>
    <font>
      <name val="Calibri"/>
      <i val="1"/>
      <sz val="10"/>
    </font>
    <font>
      <name val="Calibri"/>
      <b val="1"/>
      <color rgb="00FFFFFF"/>
      <sz val="11"/>
    </font>
    <font>
      <name val="Calibri"/>
      <b val="1"/>
      <color rgb="002F5496"/>
      <sz val="11"/>
    </font>
  </fonts>
  <fills count="10">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E2EFDA"/>
        <bgColor rgb="00E2EFDA"/>
      </patternFill>
    </fill>
    <fill>
      <patternFill patternType="solid">
        <fgColor rgb="00FFF2CC"/>
        <bgColor rgb="00FFF2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0" borderId="1"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6" fillId="2" borderId="1" pivotButton="0" quotePrefix="0" xfId="0"/>
    <xf numFmtId="0" fontId="4" fillId="0" borderId="1" pivotButton="0" quotePrefix="0" xfId="0"/>
    <xf numFmtId="0" fontId="6" fillId="2" borderId="1" applyAlignment="1" pivotButton="0" quotePrefix="0" xfId="0">
      <alignment horizontal="center" vertical="top" wrapText="1"/>
    </xf>
    <xf numFmtId="0" fontId="7" fillId="3" borderId="1" pivotButton="0" quotePrefix="0" xfId="0"/>
    <xf numFmtId="0" fontId="0" fillId="3" borderId="1" pivotButton="0" quotePrefix="0" xfId="0"/>
    <xf numFmtId="0" fontId="5" fillId="0" borderId="1" applyAlignment="1" pivotButton="0" quotePrefix="0" xfId="0">
      <alignment vertical="top" wrapText="1"/>
    </xf>
    <xf numFmtId="0" fontId="0" fillId="0" borderId="1" pivotButton="0" quotePrefix="0" xfId="0"/>
    <xf numFmtId="0" fontId="3" fillId="4" borderId="1" applyAlignment="1" pivotButton="0" quotePrefix="0" xfId="0">
      <alignment vertical="top" wrapText="1"/>
    </xf>
    <xf numFmtId="0" fontId="3" fillId="5" borderId="1" applyAlignment="1" pivotButton="0" quotePrefix="0" xfId="0">
      <alignment vertical="top" wrapText="1"/>
    </xf>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164" fontId="4" fillId="0" borderId="1" pivotButton="0" quotePrefix="0" xfId="0"/>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6"/>
  <sheetViews>
    <sheetView workbookViewId="0">
      <selection activeCell="A1" sqref="A1"/>
    </sheetView>
  </sheetViews>
  <sheetFormatPr baseColWidth="8" defaultRowHeight="15"/>
  <cols>
    <col width="25" customWidth="1" min="1" max="1"/>
    <col width="6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1" t="inlineStr">
        <is>
          <t>INDEPENDENT ASSESSMENT — METHODOLOGY &amp; APPROACH</t>
        </is>
      </c>
    </row>
    <row r="2">
      <c r="A2" s="2" t="inlineStr">
        <is>
          <t>BNM RMiT IESP — Cloud Services Assessment</t>
        </is>
      </c>
    </row>
    <row r="4">
      <c r="A4" s="2" t="inlineStr">
        <is>
          <t>ENGAGEMENT DETAILS</t>
        </is>
      </c>
    </row>
    <row r="5">
      <c r="A5" s="3" t="inlineStr">
        <is>
          <t>Entity Name:</t>
        </is>
      </c>
      <c r="B5" s="4" t="inlineStr">
        <is>
          <t>[Entity Name]</t>
        </is>
      </c>
    </row>
    <row r="6">
      <c r="A6" s="3" t="inlineStr">
        <is>
          <t>Engagement Type:</t>
        </is>
      </c>
      <c r="B6" s="4" t="inlineStr">
        <is>
          <t>Cloud IESP Assessment (Pre-Implementation or Independent Attestation)</t>
        </is>
      </c>
    </row>
    <row r="7">
      <c r="A7" s="3" t="inlineStr">
        <is>
          <t>Regulatory Basis:</t>
        </is>
      </c>
      <c r="B7" s="4" t="inlineStr">
        <is>
          <t>Paragraph 17.1 / Appendix 7, mapped to Appendix 10</t>
        </is>
      </c>
    </row>
    <row r="8">
      <c r="A8" s="3" t="inlineStr">
        <is>
          <t>Assessment Date:</t>
        </is>
      </c>
      <c r="B8" s="4" t="inlineStr">
        <is>
          <t>[DD/MM/YYYY]</t>
        </is>
      </c>
    </row>
    <row r="9">
      <c r="A9" s="3" t="inlineStr">
        <is>
          <t>Assessment Period:</t>
        </is>
      </c>
      <c r="B9" s="4" t="inlineStr">
        <is>
          <t>[Start Date] to [End Date]</t>
        </is>
      </c>
    </row>
    <row r="10">
      <c r="A10" s="3" t="inlineStr">
        <is>
          <t>Lead Assessor:</t>
        </is>
      </c>
      <c r="B10" s="4" t="inlineStr">
        <is>
          <t>[Name, Qualification]</t>
        </is>
      </c>
    </row>
    <row r="11">
      <c r="A11" s="3" t="inlineStr">
        <is>
          <t>Engagement Reference:</t>
        </is>
      </c>
      <c r="B11" s="4" t="inlineStr">
        <is>
          <t>[Ref Number]</t>
        </is>
      </c>
    </row>
    <row r="12">
      <c r="A12" s="3" t="inlineStr">
        <is>
          <t>Report Classification:</t>
        </is>
      </c>
      <c r="B12" s="4" t="inlineStr">
        <is>
          <t>Confidential (Sulit)</t>
        </is>
      </c>
    </row>
    <row r="14">
      <c r="A14" s="2" t="inlineStr">
        <is>
          <t>SCOPE OF ASSESSMENT</t>
        </is>
      </c>
    </row>
    <row r="15">
      <c r="A15" s="5" t="inlineStr">
        <is>
          <t>This assessment is conducted pursuant to BNM RMiT (BNM/RH/PD 028-98, 28 Nov 2025), Appendix 7 and Appendix 10. Where the cloud deployment involves emerging technology (AI/ML, DLT, IoT, etc.), the IESP-EmergingTech-WorkProgram.xlsx (Appendix 9) must also be used in conjunction with this workbook.</t>
        </is>
      </c>
    </row>
    <row r="16">
      <c r="A16" s="5" t="inlineStr">
        <is>
          <t>Assessment covers: (1) Appendix 10 Part A — Cloud Governance (7 areas), (2) Appendix 10 Part B — Cloud Design and Control (14 areas), (3) Appendix 7 Part D — Minimum Controls.</t>
        </is>
      </c>
    </row>
    <row r="18">
      <c r="A18" s="2" t="inlineStr">
        <is>
          <t>ENGAGEMENT MODE</t>
        </is>
      </c>
    </row>
    <row r="19">
      <c r="A19" s="3" t="inlineStr">
        <is>
          <t>Design Adequacy (Pre-Implementation):</t>
        </is>
      </c>
    </row>
    <row r="20">
      <c r="A20" s="5" t="inlineStr">
        <is>
          <t>Assess whether proposed/planned controls are designed to meet the requirement. Evidence is primarily documentary: architecture designs, policies, vendor assessments, staging test results.</t>
        </is>
      </c>
    </row>
    <row r="21">
      <c r="A21" s="3" t="inlineStr">
        <is>
          <t>Operating Effectiveness (Independent Attestation):</t>
        </is>
      </c>
    </row>
    <row r="22">
      <c r="A22" s="5" t="inlineStr">
        <is>
          <t>Assess whether controls operated effectively during the assessment period. Evidence is observation, sampling, re-performance, system-generated logs. Requires defined sampling methodology.</t>
        </is>
      </c>
    </row>
    <row r="24">
      <c r="A24" s="2" t="inlineStr">
        <is>
          <t>ASSESSMENT LEVELS</t>
        </is>
      </c>
    </row>
    <row r="25">
      <c r="A25" s="3" t="inlineStr">
        <is>
          <t>ORG</t>
        </is>
      </c>
      <c r="B25" s="5" t="inlineStr">
        <is>
          <t>Organisation-level. Assessed once per engagement (policies, governance, frameworks).</t>
        </is>
      </c>
    </row>
    <row r="26">
      <c r="A26" s="3" t="inlineStr">
        <is>
          <t>PLATFORM</t>
        </is>
      </c>
      <c r="B26" s="5" t="inlineStr">
        <is>
          <t>Platform/CSP-level. Assessed per platform in scope (configurations, controls per CSP).</t>
        </is>
      </c>
    </row>
    <row r="27">
      <c r="A27" s="3" t="inlineStr">
        <is>
          <t>WORKLOAD</t>
        </is>
      </c>
      <c r="B27" s="5" t="inlineStr">
        <is>
          <t>System/application-level. Assessed per critical system using sampling.</t>
        </is>
      </c>
    </row>
    <row r="29">
      <c r="A29" s="2" t="inlineStr">
        <is>
          <t>ASSESSMENT METHODS</t>
        </is>
      </c>
    </row>
    <row r="30">
      <c r="A30" s="3" t="inlineStr">
        <is>
          <t>Inspection</t>
        </is>
      </c>
      <c r="B30" s="5" t="inlineStr">
        <is>
          <t>Examination of documents, records, policies, configurations, and tangible evidence.</t>
        </is>
      </c>
    </row>
    <row r="31">
      <c r="A31" s="3" t="inlineStr">
        <is>
          <t>Inquiry</t>
        </is>
      </c>
      <c r="B31" s="5" t="inlineStr">
        <is>
          <t>Interviews with management, process owners, and staff.</t>
        </is>
      </c>
    </row>
    <row r="32">
      <c r="A32" s="3" t="inlineStr">
        <is>
          <t>Observation</t>
        </is>
      </c>
      <c r="B32" s="5" t="inlineStr">
        <is>
          <t>Direct observation of processes, systems, and activities.</t>
        </is>
      </c>
    </row>
    <row r="33">
      <c r="A33" s="3" t="inlineStr">
        <is>
          <t>Confirmation</t>
        </is>
      </c>
      <c r="B33" s="5" t="inlineStr">
        <is>
          <t>Verification with external or independent parties.</t>
        </is>
      </c>
    </row>
    <row r="34">
      <c r="A34" s="3" t="inlineStr">
        <is>
          <t>Re-performance</t>
        </is>
      </c>
      <c r="B34" s="5" t="inlineStr">
        <is>
          <t>IESP independently re-performs the control procedure.</t>
        </is>
      </c>
    </row>
    <row r="36">
      <c r="A36" s="2" t="inlineStr">
        <is>
          <t>CONCLUSION SCALE</t>
        </is>
      </c>
    </row>
    <row r="37">
      <c r="A37" s="3" t="inlineStr">
        <is>
          <t>Compliant</t>
        </is>
      </c>
      <c r="B37" s="5" t="inlineStr">
        <is>
          <t>Control fully implemented and operating effectively. Evidence supports regulatory criteria are met.</t>
        </is>
      </c>
    </row>
    <row r="38">
      <c r="A38" s="3" t="inlineStr">
        <is>
          <t>Partially Compliant</t>
        </is>
      </c>
      <c r="B38" s="5" t="inlineStr">
        <is>
          <t>Implemented but with gaps in scope, coverage, documentation, or effectiveness.</t>
        </is>
      </c>
    </row>
    <row r="39">
      <c r="A39" s="3" t="inlineStr">
        <is>
          <t>Non-Compliant</t>
        </is>
      </c>
      <c r="B39" s="5" t="inlineStr">
        <is>
          <t>Absent, fundamentally deficient, or not operating. Regulatory criteria not met.</t>
        </is>
      </c>
    </row>
    <row r="40">
      <c r="A40" s="3" t="inlineStr">
        <is>
          <t>N/A</t>
        </is>
      </c>
      <c r="B40" s="5" t="inlineStr">
        <is>
          <t>Not applicable to entity's operations. Justification documented.</t>
        </is>
      </c>
    </row>
    <row r="42">
      <c r="A42" s="2" t="inlineStr">
        <is>
          <t>EVIDENCE HIERARCHY (prefer higher-ranked)</t>
        </is>
      </c>
    </row>
    <row r="43">
      <c r="A43" s="3" t="inlineStr">
        <is>
          <t>Rank 1</t>
        </is>
      </c>
      <c r="B43" s="4" t="inlineStr">
        <is>
          <t>Direct observation — IESP directly observes control in operation</t>
        </is>
      </c>
    </row>
    <row r="44">
      <c r="A44" s="3" t="inlineStr">
        <is>
          <t>Rank 2</t>
        </is>
      </c>
      <c r="B44" s="4" t="inlineStr">
        <is>
          <t>Independent confirmation — Third-party evidence (SOC 2, certifications)</t>
        </is>
      </c>
    </row>
    <row r="45">
      <c r="A45" s="3" t="inlineStr">
        <is>
          <t>Rank 3</t>
        </is>
      </c>
      <c r="B45" s="4" t="inlineStr">
        <is>
          <t>System-generated — Logs, configurations without manual intervention</t>
        </is>
      </c>
    </row>
    <row r="46">
      <c r="A46" s="3" t="inlineStr">
        <is>
          <t>Rank 4</t>
        </is>
      </c>
      <c r="B46" s="4" t="inlineStr">
        <is>
          <t>Re-performance — IESP re-performs control procedure</t>
        </is>
      </c>
    </row>
    <row r="47">
      <c r="A47" s="3" t="inlineStr">
        <is>
          <t>Rank 5</t>
        </is>
      </c>
      <c r="B47" s="4" t="inlineStr">
        <is>
          <t>Documentary — Policies, procedures, meeting minutes</t>
        </is>
      </c>
    </row>
    <row r="48">
      <c r="A48" s="3" t="inlineStr">
        <is>
          <t>Rank 6</t>
        </is>
      </c>
      <c r="B48" s="4" t="inlineStr">
        <is>
          <t>Inquiry — Verbal representations from FI personnel</t>
        </is>
      </c>
    </row>
    <row r="50">
      <c r="A50" s="2" t="inlineStr">
        <is>
          <t>SAMPLING METHODOLOGY</t>
        </is>
      </c>
    </row>
    <row r="51">
      <c r="A51" s="3" t="inlineStr">
        <is>
          <t>Sampling Approach:</t>
        </is>
      </c>
      <c r="B51" s="5" t="inlineStr">
        <is>
          <t>Judgmental (not statistical) — appropriate for limited assurance engagements under BNM RMiT. Sample sizes are based on population size and control risk tier.</t>
        </is>
      </c>
    </row>
    <row r="53">
      <c r="A53" s="3" t="inlineStr">
        <is>
          <t>Sample Size Table:</t>
        </is>
      </c>
    </row>
    <row r="54">
      <c r="A54" s="6" t="inlineStr">
        <is>
          <t>Population Size</t>
        </is>
      </c>
      <c r="B54" s="6" t="inlineStr">
        <is>
          <t>Standard Risk</t>
        </is>
      </c>
      <c r="C54" s="6" t="inlineStr">
        <is>
          <t>High Risk</t>
        </is>
      </c>
      <c r="D54" s="6" t="inlineStr">
        <is>
          <t>Rationale</t>
        </is>
      </c>
    </row>
    <row r="55">
      <c r="A55" s="7" t="inlineStr">
        <is>
          <t>1-5</t>
        </is>
      </c>
      <c r="B55" s="7" t="inlineStr">
        <is>
          <t>All</t>
        </is>
      </c>
      <c r="C55" s="7" t="inlineStr">
        <is>
          <t>All</t>
        </is>
      </c>
      <c r="D55" s="7" t="inlineStr">
        <is>
          <t>Full coverage feasible</t>
        </is>
      </c>
    </row>
    <row r="56">
      <c r="A56" s="7" t="inlineStr">
        <is>
          <t>6-15</t>
        </is>
      </c>
      <c r="B56" s="7" t="inlineStr">
        <is>
          <t>3</t>
        </is>
      </c>
      <c r="C56" s="7" t="inlineStr">
        <is>
          <t>5</t>
        </is>
      </c>
      <c r="D56" s="7" t="inlineStr">
        <is>
          <t>~25-40% coverage</t>
        </is>
      </c>
    </row>
    <row r="57">
      <c r="A57" s="7" t="inlineStr">
        <is>
          <t>16-50</t>
        </is>
      </c>
      <c r="B57" s="7" t="inlineStr">
        <is>
          <t>5</t>
        </is>
      </c>
      <c r="C57" s="7" t="inlineStr">
        <is>
          <t>8</t>
        </is>
      </c>
      <c r="D57" s="7" t="inlineStr">
        <is>
          <t>Sufficient for pattern detection</t>
        </is>
      </c>
    </row>
    <row r="58">
      <c r="A58" s="7" t="inlineStr">
        <is>
          <t>51-100</t>
        </is>
      </c>
      <c r="B58" s="7" t="inlineStr">
        <is>
          <t>8</t>
        </is>
      </c>
      <c r="C58" s="7" t="inlineStr">
        <is>
          <t>12</t>
        </is>
      </c>
      <c r="D58" s="7" t="inlineStr">
        <is>
          <t>Diminishing returns beyond this</t>
        </is>
      </c>
    </row>
    <row r="59">
      <c r="A59" s="7" t="inlineStr">
        <is>
          <t>100+</t>
        </is>
      </c>
      <c r="B59" s="7" t="inlineStr">
        <is>
          <t>10</t>
        </is>
      </c>
      <c r="C59" s="7" t="inlineStr">
        <is>
          <t>15</t>
        </is>
      </c>
      <c r="D59" s="7" t="inlineStr">
        <is>
          <t>Cap with stratification</t>
        </is>
      </c>
    </row>
    <row r="61">
      <c r="A61" s="3" t="inlineStr">
        <is>
          <t>Time-Based Evidence Coverage:</t>
        </is>
      </c>
    </row>
    <row r="62">
      <c r="A62" s="6" t="inlineStr">
        <is>
          <t>Evidence Type</t>
        </is>
      </c>
      <c r="B62" s="6" t="inlineStr">
        <is>
          <t>Coverage Period</t>
        </is>
      </c>
      <c r="C62" s="6" t="inlineStr">
        <is>
          <t>Rationale</t>
        </is>
      </c>
    </row>
    <row r="63">
      <c r="A63" s="7" t="inlineStr">
        <is>
          <t>Board/committee reports</t>
        </is>
      </c>
      <c r="B63" s="7" t="inlineStr">
        <is>
          <t>Last 4 quarters</t>
        </is>
      </c>
      <c r="C63" s="7" t="inlineStr">
        <is>
          <t>Full annual governance cycle</t>
        </is>
      </c>
    </row>
    <row r="64">
      <c r="A64" s="7" t="inlineStr">
        <is>
          <t>Operational records (incidents, changes, patches)</t>
        </is>
      </c>
      <c r="B64" s="7" t="inlineStr">
        <is>
          <t>Last 3-6 months</t>
        </is>
      </c>
      <c r="C64" s="7" t="inlineStr">
        <is>
          <t>Recent operating effectiveness</t>
        </is>
      </c>
    </row>
    <row r="65">
      <c r="A65" s="7" t="inlineStr">
        <is>
          <t>Annual processes (risk assessment, DR test, pen test)</t>
        </is>
      </c>
      <c r="B65" s="7" t="inlineStr">
        <is>
          <t>Last 12 months</t>
        </is>
      </c>
      <c r="C65" s="7" t="inlineStr">
        <is>
          <t>Full cycle</t>
        </is>
      </c>
    </row>
    <row r="66">
      <c r="A66" s="7" t="inlineStr">
        <is>
          <t>Continuous monitoring (SOC, logs, alerts)</t>
        </is>
      </c>
      <c r="B66" s="7" t="inlineStr">
        <is>
          <t>Last 30 days</t>
        </is>
      </c>
      <c r="C66" s="7" t="inlineStr">
        <is>
          <t>Current state verification</t>
        </is>
      </c>
    </row>
    <row r="67">
      <c r="A67" s="7" t="inlineStr">
        <is>
          <t>Policies and frameworks</t>
        </is>
      </c>
      <c r="B67" s="7" t="inlineStr">
        <is>
          <t>Current version + prior</t>
        </is>
      </c>
      <c r="C67" s="7" t="inlineStr">
        <is>
          <t>Change tracking</t>
        </is>
      </c>
    </row>
    <row r="69">
      <c r="A69" s="3" t="inlineStr">
        <is>
          <t>Control Risk Tiers:</t>
        </is>
      </c>
    </row>
    <row r="70">
      <c r="A70" s="6" t="inlineStr">
        <is>
          <t>Tier</t>
        </is>
      </c>
      <c r="B70" s="6" t="inlineStr">
        <is>
          <t>Controls</t>
        </is>
      </c>
      <c r="C70" s="6" t="inlineStr">
        <is>
          <t>Sampling Level</t>
        </is>
      </c>
    </row>
    <row r="71">
      <c r="A71" s="7" t="inlineStr">
        <is>
          <t>Critical</t>
        </is>
      </c>
      <c r="B71" s="7" t="inlineStr">
        <is>
          <t>Governance framework, SOC, incident response, regulatory notification, BCM, customer data protection</t>
        </is>
      </c>
      <c r="C71" s="7" t="inlineStr">
        <is>
          <t>High risk samples</t>
        </is>
      </c>
    </row>
    <row r="72">
      <c r="A72" s="7" t="inlineStr">
        <is>
          <t>Standard</t>
        </is>
      </c>
      <c r="B72" s="7" t="inlineStr">
        <is>
          <t>Most controls (risk assessment, vuln mgmt, vendor assessment, change mgmt, etc.)</t>
        </is>
      </c>
      <c r="C72" s="7" t="inlineStr">
        <is>
          <t>Standard risk samples</t>
        </is>
      </c>
    </row>
    <row r="73">
      <c r="A73" s="7" t="inlineStr">
        <is>
          <t>Conditional</t>
        </is>
      </c>
      <c r="B73" s="7" t="inlineStr">
        <is>
          <t>Emerging tech, specialised areas — may be N/A</t>
        </is>
      </c>
      <c r="C73" s="7" t="inlineStr">
        <is>
          <t>Standard if applicable</t>
        </is>
      </c>
    </row>
    <row r="75">
      <c r="A75" s="2" t="inlineStr">
        <is>
          <t>LIMITATIONS</t>
        </is>
      </c>
    </row>
    <row r="76">
      <c r="A76" s="5" t="inlineStr">
        <is>
          <t>1. Limited assurance engagement — conclusions based on procedures performed, not absolute assurance.</t>
        </is>
      </c>
    </row>
    <row r="77">
      <c r="A77" s="5" t="inlineStr">
        <is>
          <t>2. Point-in-time (design adequacy) or period assessment (operating effectiveness).</t>
        </is>
      </c>
    </row>
    <row r="78">
      <c r="A78" s="5" t="inlineStr">
        <is>
          <t>3. Reliance on management representations and documentation provided.</t>
        </is>
      </c>
    </row>
    <row r="79">
      <c r="A79" s="5" t="inlineStr">
        <is>
          <t>4. Scope guided by BNM RMiT (BNM/RH/PD 028-98, 28 Nov 2025).</t>
        </is>
      </c>
    </row>
    <row r="80">
      <c r="A80" s="5" t="inlineStr">
        <is>
          <t>5. Does not constitute legal or regulatory advice.</t>
        </is>
      </c>
    </row>
    <row r="81">
      <c r="A81" s="5" t="inlineStr">
        <is>
          <t>6. The IESP remains solely responsible for the sufficiency of work performed.</t>
        </is>
      </c>
    </row>
    <row r="83">
      <c r="A83" s="2" t="inlineStr">
        <is>
          <t>SIGN-OFF</t>
        </is>
      </c>
    </row>
    <row r="84">
      <c r="A84" s="3" t="inlineStr">
        <is>
          <t>Lead Assessor:</t>
        </is>
      </c>
      <c r="B84" s="4" t="inlineStr">
        <is>
          <t>________________________</t>
        </is>
      </c>
      <c r="F84" s="3" t="inlineStr">
        <is>
          <t>Date:</t>
        </is>
      </c>
      <c r="G84" s="4" t="inlineStr">
        <is>
          <t>______________</t>
        </is>
      </c>
    </row>
    <row r="85">
      <c r="A85" s="3" t="inlineStr">
        <is>
          <t>Quality Reviewer:</t>
        </is>
      </c>
      <c r="B85" s="4" t="inlineStr">
        <is>
          <t>________________________</t>
        </is>
      </c>
      <c r="F85" s="3" t="inlineStr">
        <is>
          <t>Date:</t>
        </is>
      </c>
      <c r="G85" s="4" t="inlineStr">
        <is>
          <t>______________</t>
        </is>
      </c>
    </row>
    <row r="86">
      <c r="A86" s="3" t="inlineStr">
        <is>
          <t>Entity Representative:</t>
        </is>
      </c>
      <c r="B86" s="4" t="inlineStr">
        <is>
          <t>________________________</t>
        </is>
      </c>
      <c r="F86" s="3" t="inlineStr">
        <is>
          <t>Date:</t>
        </is>
      </c>
      <c r="G86" s="4" t="inlineStr">
        <is>
          <t>______________</t>
        </is>
      </c>
    </row>
  </sheetData>
  <mergeCells count="25">
    <mergeCell ref="A77:N77"/>
    <mergeCell ref="A83:N83"/>
    <mergeCell ref="A24:N24"/>
    <mergeCell ref="A15:N15"/>
    <mergeCell ref="B51:N51"/>
    <mergeCell ref="A36:N36"/>
    <mergeCell ref="A1:N1"/>
    <mergeCell ref="A79:N79"/>
    <mergeCell ref="A78:N78"/>
    <mergeCell ref="A16:N16"/>
    <mergeCell ref="A75:N75"/>
    <mergeCell ref="A80:N80"/>
    <mergeCell ref="A18:N18"/>
    <mergeCell ref="A50:N50"/>
    <mergeCell ref="A21:N21"/>
    <mergeCell ref="A2:N2"/>
    <mergeCell ref="A76:N76"/>
    <mergeCell ref="A42:N42"/>
    <mergeCell ref="A14:N14"/>
    <mergeCell ref="A22:N22"/>
    <mergeCell ref="A4:N4"/>
    <mergeCell ref="A20:N20"/>
    <mergeCell ref="A29:N29"/>
    <mergeCell ref="A81:N81"/>
    <mergeCell ref="A19:N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30" customWidth="1" min="2" max="2"/>
    <col width="40" customWidth="1" min="3" max="3"/>
    <col width="20" customWidth="1" min="4" max="4"/>
    <col width="30" customWidth="1" min="5" max="5"/>
    <col width="20" customWidth="1" min="6" max="6"/>
  </cols>
  <sheetData>
    <row r="1">
      <c r="A1" s="1" t="inlineStr">
        <is>
          <t>ENGAGEMENT SCOPING — BNM RMiT IESP — Cloud Services Assessment</t>
        </is>
      </c>
    </row>
    <row r="3">
      <c r="A3" s="8" t="inlineStr">
        <is>
          <t>Note: Where the cloud deployment involves emerging technology (AI/ML, DLT, IoT, etc.), the IESP-EmergingTech-WorkProgram.xlsx (Appendix 9) must also be used in conjunction with this workbook.</t>
        </is>
      </c>
    </row>
    <row r="5">
      <c r="A5" s="2" t="inlineStr">
        <is>
          <t>ASSESSMENT LEVELS</t>
        </is>
      </c>
    </row>
    <row r="6">
      <c r="A6" s="3" t="inlineStr">
        <is>
          <t>ORG</t>
        </is>
      </c>
      <c r="B6" s="5" t="inlineStr">
        <is>
          <t>Organisation / Enterprise level. Assessed ONCE per engagement. Policies, frameworks, governance structures that apply across all platforms and systems.</t>
        </is>
      </c>
    </row>
    <row r="7">
      <c r="A7" s="3" t="inlineStr">
        <is>
          <t>PLATFORM</t>
        </is>
      </c>
      <c r="B7" s="5" t="inlineStr">
        <is>
          <t>Platform / CSP level. Assessed PER PLATFORM in scope. If the FI uses AWS and Azure, repeat these test steps for each. Covers platform-specific configurations and controls.</t>
        </is>
      </c>
    </row>
    <row r="8">
      <c r="A8" s="3" t="inlineStr">
        <is>
          <t>WORKLOAD</t>
        </is>
      </c>
      <c r="B8" s="5" t="inlineStr">
        <is>
          <t>Workload / Application / System level. Assessed PER CRITICAL SYSTEM in scope using sampling. Covers system-specific deployments, configurations, and arrangements.</t>
        </is>
      </c>
    </row>
    <row r="10">
      <c r="A10" s="2" t="inlineStr">
        <is>
          <t>PLATFORMS / CSPs IN SCOPE</t>
        </is>
      </c>
    </row>
    <row r="11">
      <c r="A11" s="9" t="inlineStr">
        <is>
          <t>#</t>
        </is>
      </c>
      <c r="B11" s="9" t="inlineStr">
        <is>
          <t>Platform / CSP</t>
        </is>
      </c>
      <c r="C11" s="9" t="inlineStr">
        <is>
          <t>Service Models (IaaS/PaaS/SaaS)</t>
        </is>
      </c>
      <c r="D11" s="9" t="inlineStr">
        <is>
          <t>Regions</t>
        </is>
      </c>
      <c r="E11" s="9" t="inlineStr">
        <is>
          <t>Contract Ref</t>
        </is>
      </c>
      <c r="F11" s="9" t="inlineStr">
        <is>
          <t>Notes</t>
        </is>
      </c>
    </row>
    <row r="12">
      <c r="A12" s="10" t="inlineStr">
        <is>
          <t>1</t>
        </is>
      </c>
      <c r="B12" s="10" t="inlineStr"/>
      <c r="C12" s="10" t="inlineStr"/>
      <c r="D12" s="10" t="inlineStr"/>
      <c r="E12" s="10" t="inlineStr"/>
      <c r="F12" s="10" t="inlineStr"/>
    </row>
    <row r="13">
      <c r="A13" s="10" t="inlineStr">
        <is>
          <t>2</t>
        </is>
      </c>
      <c r="B13" s="10" t="inlineStr"/>
      <c r="C13" s="10" t="inlineStr"/>
      <c r="D13" s="10" t="inlineStr"/>
      <c r="E13" s="10" t="inlineStr"/>
      <c r="F13" s="10" t="inlineStr"/>
    </row>
    <row r="14">
      <c r="A14" s="10" t="inlineStr">
        <is>
          <t>3</t>
        </is>
      </c>
      <c r="B14" s="10" t="inlineStr"/>
      <c r="C14" s="10" t="inlineStr"/>
      <c r="D14" s="10" t="inlineStr"/>
      <c r="E14" s="10" t="inlineStr"/>
      <c r="F14" s="10" t="inlineStr"/>
    </row>
    <row r="15">
      <c r="A15" s="10" t="inlineStr">
        <is>
          <t>4</t>
        </is>
      </c>
      <c r="B15" s="10" t="inlineStr"/>
      <c r="C15" s="10" t="inlineStr"/>
      <c r="D15" s="10" t="inlineStr"/>
      <c r="E15" s="10" t="inlineStr"/>
      <c r="F15" s="10" t="inlineStr"/>
    </row>
    <row r="16">
      <c r="A16" s="10" t="inlineStr">
        <is>
          <t>5</t>
        </is>
      </c>
      <c r="B16" s="10" t="inlineStr"/>
      <c r="C16" s="10" t="inlineStr"/>
      <c r="D16" s="10" t="inlineStr"/>
      <c r="E16" s="10" t="inlineStr"/>
      <c r="F16" s="10" t="inlineStr"/>
    </row>
    <row r="18">
      <c r="A18" s="2" t="inlineStr">
        <is>
          <t>CRITICAL SYSTEMS / WORKLOADS IN SCOPE</t>
        </is>
      </c>
    </row>
    <row r="19">
      <c r="A19" s="9" t="inlineStr">
        <is>
          <t>#</t>
        </is>
      </c>
      <c r="B19" s="9" t="inlineStr">
        <is>
          <t>System / Application Name</t>
        </is>
      </c>
      <c r="C19" s="9" t="inlineStr">
        <is>
          <t>Platform</t>
        </is>
      </c>
      <c r="D19" s="9" t="inlineStr">
        <is>
          <t>Criticality</t>
        </is>
      </c>
      <c r="E19" s="9" t="inlineStr">
        <is>
          <t>Data Classification</t>
        </is>
      </c>
      <c r="F19" s="9" t="inlineStr">
        <is>
          <t>Notes</t>
        </is>
      </c>
    </row>
    <row r="20">
      <c r="A20" s="10" t="inlineStr">
        <is>
          <t>1</t>
        </is>
      </c>
      <c r="B20" s="10" t="inlineStr"/>
      <c r="C20" s="10" t="inlineStr"/>
      <c r="D20" s="10" t="inlineStr"/>
      <c r="E20" s="10" t="inlineStr"/>
      <c r="F20" s="10" t="inlineStr"/>
    </row>
    <row r="21">
      <c r="A21" s="10" t="inlineStr">
        <is>
          <t>2</t>
        </is>
      </c>
      <c r="B21" s="10" t="inlineStr"/>
      <c r="C21" s="10" t="inlineStr"/>
      <c r="D21" s="10" t="inlineStr"/>
      <c r="E21" s="10" t="inlineStr"/>
      <c r="F21" s="10" t="inlineStr"/>
    </row>
    <row r="22">
      <c r="A22" s="10" t="inlineStr">
        <is>
          <t>3</t>
        </is>
      </c>
      <c r="B22" s="10" t="inlineStr"/>
      <c r="C22" s="10" t="inlineStr"/>
      <c r="D22" s="10" t="inlineStr"/>
      <c r="E22" s="10" t="inlineStr"/>
      <c r="F22" s="10" t="inlineStr"/>
    </row>
    <row r="23">
      <c r="A23" s="10" t="inlineStr">
        <is>
          <t>4</t>
        </is>
      </c>
      <c r="B23" s="10" t="inlineStr"/>
      <c r="C23" s="10" t="inlineStr"/>
      <c r="D23" s="10" t="inlineStr"/>
      <c r="E23" s="10" t="inlineStr"/>
      <c r="F23" s="10" t="inlineStr"/>
    </row>
    <row r="24">
      <c r="A24" s="10" t="inlineStr">
        <is>
          <t>5</t>
        </is>
      </c>
      <c r="B24" s="10" t="inlineStr"/>
      <c r="C24" s="10" t="inlineStr"/>
      <c r="D24" s="10" t="inlineStr"/>
      <c r="E24" s="10" t="inlineStr"/>
      <c r="F24" s="10" t="inlineStr"/>
    </row>
    <row r="25">
      <c r="A25" s="10" t="inlineStr">
        <is>
          <t>6</t>
        </is>
      </c>
      <c r="B25" s="10" t="inlineStr"/>
      <c r="C25" s="10" t="inlineStr"/>
      <c r="D25" s="10" t="inlineStr"/>
      <c r="E25" s="10" t="inlineStr"/>
      <c r="F25" s="10" t="inlineStr"/>
    </row>
    <row r="26">
      <c r="A26" s="10" t="inlineStr">
        <is>
          <t>7</t>
        </is>
      </c>
      <c r="B26" s="10" t="inlineStr"/>
      <c r="C26" s="10" t="inlineStr"/>
      <c r="D26" s="10" t="inlineStr"/>
      <c r="E26" s="10" t="inlineStr"/>
      <c r="F26" s="10" t="inlineStr"/>
    </row>
    <row r="27">
      <c r="A27" s="10" t="inlineStr">
        <is>
          <t>8</t>
        </is>
      </c>
      <c r="B27" s="10" t="inlineStr"/>
      <c r="C27" s="10" t="inlineStr"/>
      <c r="D27" s="10" t="inlineStr"/>
      <c r="E27" s="10" t="inlineStr"/>
      <c r="F27" s="10" t="inlineStr"/>
    </row>
    <row r="28">
      <c r="A28" s="10" t="inlineStr">
        <is>
          <t>9</t>
        </is>
      </c>
      <c r="B28" s="10" t="inlineStr"/>
      <c r="C28" s="10" t="inlineStr"/>
      <c r="D28" s="10" t="inlineStr"/>
      <c r="E28" s="10" t="inlineStr"/>
      <c r="F28" s="10" t="inlineStr"/>
    </row>
    <row r="29">
      <c r="A29" s="10" t="inlineStr">
        <is>
          <t>10</t>
        </is>
      </c>
      <c r="B29" s="10" t="inlineStr"/>
      <c r="C29" s="10" t="inlineStr"/>
      <c r="D29" s="10" t="inlineStr"/>
      <c r="E29" s="10" t="inlineStr"/>
      <c r="F29" s="10" t="inlineStr"/>
    </row>
    <row r="31">
      <c r="A31" s="2" t="inlineStr">
        <is>
          <t>SAMPLING APPROACH</t>
        </is>
      </c>
    </row>
    <row r="32">
      <c r="A32" s="3" t="inlineStr">
        <is>
          <t>Assessment Period:</t>
        </is>
      </c>
      <c r="B32" s="4" t="inlineStr">
        <is>
          <t>[Start Date] to [End Date]</t>
        </is>
      </c>
    </row>
    <row r="33">
      <c r="A33" s="3" t="inlineStr">
        <is>
          <t>User Access Samples:</t>
        </is>
      </c>
      <c r="B33" s="4" t="inlineStr">
        <is>
          <t>[e.g., 20 user accounts, 10 leavers/transfers]</t>
        </is>
      </c>
    </row>
    <row r="34">
      <c r="A34" s="3" t="inlineStr">
        <is>
          <t>Change Management Samples:</t>
        </is>
      </c>
      <c r="B34" s="4" t="inlineStr">
        <is>
          <t>[e.g., 10 recent changes]</t>
        </is>
      </c>
    </row>
    <row r="35">
      <c r="A35" s="3" t="inlineStr">
        <is>
          <t>Incident Samples:</t>
        </is>
      </c>
      <c r="B35" s="4" t="inlineStr">
        <is>
          <t>[e.g., 15 SOC alerts, all significant incidents in period]</t>
        </is>
      </c>
    </row>
    <row r="36">
      <c r="A36" s="3" t="inlineStr">
        <is>
          <t>Firewall Rule Samples:</t>
        </is>
      </c>
      <c r="B36" s="4" t="inlineStr">
        <is>
          <t>[e.g., 20 rules]</t>
        </is>
      </c>
    </row>
    <row r="37">
      <c r="A37" s="3" t="inlineStr">
        <is>
          <t>Configuration Samples:</t>
        </is>
      </c>
      <c r="B37" s="4" t="inlineStr">
        <is>
          <t>[e.g., 10 network devices]</t>
        </is>
      </c>
    </row>
  </sheetData>
  <mergeCells count="15">
    <mergeCell ref="B7:F7"/>
    <mergeCell ref="A10:F10"/>
    <mergeCell ref="B6:F6"/>
    <mergeCell ref="B32:F32"/>
    <mergeCell ref="B34:F34"/>
    <mergeCell ref="B33:F33"/>
    <mergeCell ref="A1:F1"/>
    <mergeCell ref="A5:F5"/>
    <mergeCell ref="A31:F31"/>
    <mergeCell ref="B37:F37"/>
    <mergeCell ref="A18:F18"/>
    <mergeCell ref="B36:F36"/>
    <mergeCell ref="B8:F8"/>
    <mergeCell ref="A3:F3"/>
    <mergeCell ref="B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PLANNING AND SCOPING CHECKLIST</t>
        </is>
      </c>
    </row>
    <row r="3">
      <c r="A3" s="9" t="inlineStr">
        <is>
          <t>Step</t>
        </is>
      </c>
      <c r="B3" s="9" t="inlineStr">
        <is>
          <t>Activity</t>
        </is>
      </c>
      <c r="C3" s="9" t="inlineStr">
        <is>
          <t>Responsible</t>
        </is>
      </c>
      <c r="D3" s="9" t="inlineStr">
        <is>
          <t>Status</t>
        </is>
      </c>
      <c r="E3" s="9" t="inlineStr">
        <is>
          <t>Notes</t>
        </is>
      </c>
    </row>
    <row r="4">
      <c r="A4" s="7" t="inlineStr">
        <is>
          <t>P-01</t>
        </is>
      </c>
      <c r="B4" s="7" t="inlineStr">
        <is>
          <t>Confirm engagement trigger and regulatory basis</t>
        </is>
      </c>
      <c r="C4" s="7" t="inlineStr"/>
      <c r="D4" s="7" t="inlineStr"/>
      <c r="E4" s="7" t="inlineStr"/>
    </row>
    <row r="5">
      <c r="A5" s="7" t="inlineStr">
        <is>
          <t>P-02</t>
        </is>
      </c>
      <c r="B5" s="7" t="inlineStr">
        <is>
          <t>Issue engagement letter with scope, timeline, and deliverables</t>
        </is>
      </c>
      <c r="C5" s="7" t="inlineStr"/>
      <c r="D5" s="7" t="inlineStr"/>
      <c r="E5" s="7" t="inlineStr"/>
    </row>
    <row r="6">
      <c r="A6" s="7" t="inlineStr">
        <is>
          <t>P-03</t>
        </is>
      </c>
      <c r="B6" s="7" t="inlineStr">
        <is>
          <t>Confirm IESP team qualifications and independence (Part C compliance)</t>
        </is>
      </c>
      <c r="C6" s="7" t="inlineStr"/>
      <c r="D6" s="7" t="inlineStr"/>
      <c r="E6" s="7" t="inlineStr"/>
    </row>
    <row r="7">
      <c r="A7" s="7" t="inlineStr">
        <is>
          <t>P-04</t>
        </is>
      </c>
      <c r="B7" s="7" t="inlineStr">
        <is>
          <t>Issue Document Request List (DRL) to the FI</t>
        </is>
      </c>
      <c r="C7" s="7" t="inlineStr"/>
      <c r="D7" s="7" t="inlineStr"/>
      <c r="E7" s="7" t="inlineStr"/>
    </row>
    <row r="8">
      <c r="A8" s="7" t="inlineStr">
        <is>
          <t>P-05</t>
        </is>
      </c>
      <c r="B8" s="7" t="inlineStr">
        <is>
          <t>Obtain and review prior assessment reports and remediation status</t>
        </is>
      </c>
      <c r="C8" s="7" t="inlineStr"/>
      <c r="D8" s="7" t="inlineStr"/>
      <c r="E8" s="7" t="inlineStr"/>
    </row>
    <row r="9">
      <c r="A9" s="7" t="inlineStr">
        <is>
          <t>P-06</t>
        </is>
      </c>
      <c r="B9" s="7" t="inlineStr">
        <is>
          <t>Identify platforms/CSPs in scope and complete scoping sheet</t>
        </is>
      </c>
      <c r="C9" s="7" t="inlineStr"/>
      <c r="D9" s="7" t="inlineStr"/>
      <c r="E9" s="7" t="inlineStr"/>
    </row>
    <row r="10">
      <c r="A10" s="7" t="inlineStr">
        <is>
          <t>P-07</t>
        </is>
      </c>
      <c r="B10" s="7" t="inlineStr">
        <is>
          <t>Identify critical systems/workloads in scope</t>
        </is>
      </c>
      <c r="C10" s="7" t="inlineStr"/>
      <c r="D10" s="7" t="inlineStr"/>
      <c r="E10" s="7" t="inlineStr"/>
    </row>
    <row r="11">
      <c r="A11" s="7" t="inlineStr">
        <is>
          <t>P-08</t>
        </is>
      </c>
      <c r="B11" s="7" t="inlineStr">
        <is>
          <t>Define assessment period and sampling approach</t>
        </is>
      </c>
      <c r="C11" s="7" t="inlineStr"/>
      <c r="D11" s="7" t="inlineStr"/>
      <c r="E11" s="7" t="inlineStr"/>
    </row>
    <row r="12">
      <c r="A12" s="7" t="inlineStr">
        <is>
          <t>P-09</t>
        </is>
      </c>
      <c r="B12" s="7" t="inlineStr">
        <is>
          <t>Determine engagement mode: design adequacy (pre-impl) or operating effectiveness (attestation)</t>
        </is>
      </c>
      <c r="C12" s="7" t="inlineStr"/>
      <c r="D12" s="7" t="inlineStr"/>
      <c r="E12" s="7" t="inlineStr"/>
    </row>
    <row r="13">
      <c r="A13" s="7" t="inlineStr">
        <is>
          <t>P-10</t>
        </is>
      </c>
      <c r="B13" s="7" t="inlineStr">
        <is>
          <t>Determine if higher-risk services criteria apply (customer data, cross-border)</t>
        </is>
      </c>
      <c r="C13" s="7" t="inlineStr"/>
      <c r="D13" s="7" t="inlineStr"/>
      <c r="E13" s="7" t="inlineStr"/>
    </row>
    <row r="14">
      <c r="A14" s="7" t="inlineStr">
        <is>
          <t>P-11</t>
        </is>
      </c>
      <c r="B14" s="7" t="inlineStr">
        <is>
          <t>Schedule site visits / remote assessment sessions</t>
        </is>
      </c>
      <c r="C14" s="7" t="inlineStr"/>
      <c r="D14" s="7" t="inlineStr"/>
      <c r="E14" s="7" t="inlineStr"/>
    </row>
    <row r="15">
      <c r="A15" s="7" t="inlineStr">
        <is>
          <t>P-12</t>
        </is>
      </c>
      <c r="B15" s="7" t="inlineStr">
        <is>
          <t>Conduct kick-off meeting with FI management</t>
        </is>
      </c>
      <c r="C15" s="7" t="inlineStr"/>
      <c r="D15" s="7" t="inlineStr"/>
      <c r="E15" s="7" t="inlineStr"/>
    </row>
    <row r="16">
      <c r="A16" s="7" t="inlineStr">
        <is>
          <t>P-13</t>
        </is>
      </c>
      <c r="B16" s="7" t="inlineStr">
        <is>
          <t>Receive and catalogue DRL responses</t>
        </is>
      </c>
      <c r="C16" s="7" t="inlineStr"/>
      <c r="D16" s="7" t="inlineStr"/>
      <c r="E16" s="7" t="inlineStr"/>
    </row>
    <row r="17">
      <c r="A17" s="7" t="inlineStr">
        <is>
          <t>P-14</t>
        </is>
      </c>
      <c r="B17" s="7" t="inlineStr">
        <is>
          <t>Finalise scoping memorandum</t>
        </is>
      </c>
      <c r="C17" s="7" t="inlineStr"/>
      <c r="D17" s="7" t="inlineStr"/>
      <c r="E17" s="7" t="inlineStr"/>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14" customWidth="1" min="1" max="1"/>
    <col width="10" customWidth="1" min="2" max="2"/>
    <col width="11" customWidth="1" min="3" max="3"/>
    <col width="22" customWidth="1" min="4" max="4"/>
    <col width="28" customWidth="1" min="5" max="5"/>
    <col width="50" customWidth="1" min="6" max="6"/>
    <col width="35" customWidth="1" min="7" max="7"/>
    <col width="14" customWidth="1" min="8" max="8"/>
    <col width="30" customWidth="1" min="9" max="9"/>
    <col width="25" customWidth="1" min="10" max="10"/>
    <col width="12" customWidth="1" min="11" max="11"/>
    <col width="30" customWidth="1" min="12" max="12"/>
    <col width="16" customWidth="1" min="13" max="13"/>
    <col width="30" customWidth="1" min="14" max="14"/>
  </cols>
  <sheetData>
    <row r="1">
      <c r="A1" s="11" t="inlineStr">
        <is>
          <t>BNM Ref</t>
        </is>
      </c>
      <c r="B1" s="11" t="inlineStr">
        <is>
          <t>Ref</t>
        </is>
      </c>
      <c r="C1" s="11" t="inlineStr">
        <is>
          <t>Level</t>
        </is>
      </c>
      <c r="D1" s="11" t="inlineStr">
        <is>
          <t>Control Domain</t>
        </is>
      </c>
      <c r="E1" s="11" t="inlineStr">
        <is>
          <t>Sub-Procedure</t>
        </is>
      </c>
      <c r="F1" s="11" t="inlineStr">
        <is>
          <t>Assessment Procedures</t>
        </is>
      </c>
      <c r="G1" s="11" t="inlineStr">
        <is>
          <t>Expected Evidence</t>
        </is>
      </c>
      <c r="H1" s="11" t="inlineStr">
        <is>
          <t>Method</t>
        </is>
      </c>
      <c r="I1" s="11" t="inlineStr">
        <is>
          <t>Procedures Performed</t>
        </is>
      </c>
      <c r="J1" s="11" t="inlineStr">
        <is>
          <t>Evidence Obtained</t>
        </is>
      </c>
      <c r="K1" s="11" t="inlineStr">
        <is>
          <t>Evidence Ref</t>
        </is>
      </c>
      <c r="L1" s="11" t="inlineStr">
        <is>
          <t>Observations</t>
        </is>
      </c>
      <c r="M1" s="11" t="inlineStr">
        <is>
          <t>Conclusion</t>
        </is>
      </c>
      <c r="N1" s="11" t="inlineStr">
        <is>
          <t>Recommendations</t>
        </is>
      </c>
    </row>
    <row r="2">
      <c r="A2" s="12" t="inlineStr">
        <is>
          <t>Area 1 — Cloud Risk Management</t>
        </is>
      </c>
      <c r="B2" s="13" t="n"/>
      <c r="C2" s="13" t="n"/>
      <c r="D2" s="13" t="n"/>
      <c r="E2" s="13" t="n"/>
      <c r="F2" s="13" t="n"/>
      <c r="G2" s="13" t="n"/>
      <c r="H2" s="13" t="n"/>
      <c r="I2" s="13" t="n"/>
      <c r="J2" s="13" t="n"/>
      <c r="K2" s="13" t="n"/>
      <c r="L2" s="13" t="n"/>
      <c r="M2" s="13" t="n"/>
      <c r="N2" s="13" t="n"/>
    </row>
    <row r="3">
      <c r="A3" s="14" t="inlineStr">
        <is>
          <t>BNM expects board-level governance and a comprehensive cloud risk management framework integrated with the TRMF/CRF. The FI remains fully responsible for data protection regardless of cloud arrangements. Framework must articulate accountability and be periodically reviewed.</t>
        </is>
      </c>
      <c r="B3" s="15" t="n"/>
      <c r="C3" s="15" t="n"/>
      <c r="D3" s="15" t="n"/>
      <c r="E3" s="15" t="n"/>
      <c r="F3" s="15" t="n"/>
      <c r="G3" s="15" t="n"/>
      <c r="H3" s="15" t="n"/>
      <c r="I3" s="15" t="n"/>
      <c r="J3" s="15" t="n"/>
      <c r="K3" s="15" t="n"/>
      <c r="L3" s="15" t="n"/>
      <c r="M3" s="15" t="n"/>
      <c r="N3" s="15" t="n"/>
    </row>
    <row r="4">
      <c r="A4" s="16" t="inlineStr">
        <is>
          <t>App10-A1</t>
        </is>
      </c>
      <c r="B4" s="16" t="inlineStr">
        <is>
          <t>CLD-01</t>
        </is>
      </c>
      <c r="C4" s="16" t="inlineStr">
        <is>
          <t>ORG</t>
        </is>
      </c>
      <c r="D4" s="16" t="inlineStr">
        <is>
          <t>Cloud Risk Management</t>
        </is>
      </c>
      <c r="E4" s="16" t="inlineStr">
        <is>
          <t>Board governance and risk framework for cloud adoption</t>
        </is>
      </c>
      <c r="F4" s="16" t="inlineStr"/>
      <c r="G4" s="16" t="inlineStr"/>
      <c r="H4" s="16" t="inlineStr"/>
      <c r="I4" s="16" t="inlineStr"/>
      <c r="J4" s="16" t="inlineStr"/>
      <c r="K4" s="16" t="inlineStr"/>
      <c r="L4" s="16" t="inlineStr"/>
      <c r="M4" s="17" t="inlineStr"/>
      <c r="N4" s="17" t="inlineStr"/>
    </row>
    <row r="5">
      <c r="A5" s="7" t="inlineStr">
        <is>
          <t>App10-A1(a)</t>
        </is>
      </c>
      <c r="B5" s="7" t="inlineStr">
        <is>
          <t>CLD-01.1</t>
        </is>
      </c>
      <c r="C5" s="7" t="inlineStr"/>
      <c r="D5" s="7" t="inlineStr"/>
      <c r="E5" s="7" t="inlineStr">
        <is>
          <t>Board governance principles</t>
        </is>
      </c>
      <c r="F5" s="7" t="inlineStr">
        <is>
          <t>1. Obtain evidence of board promoting sound governance principles for cloud usage.
2. Verify board/designated committee has approved cloud strategy and risk appetite.
3. Check board receives periodic reporting on cloud risk posture.</t>
        </is>
      </c>
      <c r="G5" s="7" t="inlineStr">
        <is>
          <t>Board-approved cloud governance framework; Board/committee minutes; Cloud risk reports to board</t>
        </is>
      </c>
      <c r="H5" s="7" t="inlineStr">
        <is>
          <t>Inspection</t>
        </is>
      </c>
      <c r="I5" s="7" t="inlineStr"/>
      <c r="J5" s="7" t="inlineStr"/>
      <c r="K5" s="7" t="inlineStr"/>
      <c r="L5" s="7" t="inlineStr"/>
      <c r="M5" s="7" t="inlineStr"/>
      <c r="N5" s="7" t="inlineStr"/>
    </row>
    <row r="6">
      <c r="A6" s="7" t="inlineStr">
        <is>
          <t>App10-A1(b)</t>
        </is>
      </c>
      <c r="B6" s="7" t="inlineStr">
        <is>
          <t>CLD-01.2</t>
        </is>
      </c>
      <c r="C6" s="7" t="inlineStr"/>
      <c r="D6" s="7" t="inlineStr"/>
      <c r="E6" s="7" t="inlineStr">
        <is>
          <t>Cloud risk management framework integrated with TRMF/CRF</t>
        </is>
      </c>
      <c r="F6" s="7" t="inlineStr">
        <is>
          <t>1. Obtain cloud risk management framework.
2. Verify integration with overall TRMF and CRF.
3. Check framework covers risk identification, assessment, mitigation, monitoring for cloud.
4. Verify alignment with enterprise risk management approach.</t>
        </is>
      </c>
      <c r="G6" s="7" t="inlineStr">
        <is>
          <t>Cloud risk management framework; TRMF/CRF integration evidence; Risk assessment methodology</t>
        </is>
      </c>
      <c r="H6" s="7" t="inlineStr">
        <is>
          <t>Inspection</t>
        </is>
      </c>
      <c r="I6" s="7" t="inlineStr"/>
      <c r="J6" s="7" t="inlineStr"/>
      <c r="K6" s="7" t="inlineStr"/>
      <c r="L6" s="7" t="inlineStr"/>
      <c r="M6" s="7" t="inlineStr"/>
      <c r="N6" s="7" t="inlineStr"/>
    </row>
    <row r="7">
      <c r="A7" s="7" t="inlineStr">
        <is>
          <t>App10-A1(c)</t>
        </is>
      </c>
      <c r="B7" s="7" t="inlineStr">
        <is>
          <t>CLD-01.3</t>
        </is>
      </c>
      <c r="C7" s="7" t="inlineStr"/>
      <c r="D7" s="7" t="inlineStr"/>
      <c r="E7" s="7" t="inlineStr">
        <is>
          <t>Framework tailored to service models with shared responsibility</t>
        </is>
      </c>
      <c r="F7" s="7" t="inlineStr">
        <is>
          <t>1. Verify framework addresses IaaS, PaaS, SaaS service models.
2. Check shared responsibility model documented per service model.
3. Confirm controls mapped to shared responsibility boundaries.
4. Verify framework addresses deployment models (public, private, hybrid).</t>
        </is>
      </c>
      <c r="G7" s="7" t="inlineStr">
        <is>
          <t>Service model risk assessment; Shared responsibility matrix per CSP; Deployment model risk analysis</t>
        </is>
      </c>
      <c r="H7" s="7" t="inlineStr">
        <is>
          <t>Inspection</t>
        </is>
      </c>
      <c r="I7" s="7" t="inlineStr"/>
      <c r="J7" s="7" t="inlineStr"/>
      <c r="K7" s="7" t="inlineStr"/>
      <c r="L7" s="7" t="inlineStr"/>
      <c r="M7" s="7" t="inlineStr"/>
      <c r="N7" s="7" t="inlineStr"/>
    </row>
    <row r="8">
      <c r="A8" s="7" t="inlineStr">
        <is>
          <t>App10-A1(d)</t>
        </is>
      </c>
      <c r="B8" s="7" t="inlineStr">
        <is>
          <t>CLD-01.4</t>
        </is>
      </c>
      <c r="C8" s="7" t="inlineStr"/>
      <c r="D8" s="7" t="inlineStr"/>
      <c r="E8" s="7" t="inlineStr">
        <is>
          <t>FI responsible for data protection</t>
        </is>
      </c>
      <c r="F8" s="7" t="inlineStr">
        <is>
          <t>1. Verify FI acknowledges responsibility for customer data protection in cloud.
2. Check data protection obligations documented regardless of cloud arrangement.
3. Verify data classification controls applied to cloud-hosted data.
4. Confirm data handling requirements flow down to CSP contracts.</t>
        </is>
      </c>
      <c r="G8" s="7" t="inlineStr">
        <is>
          <t>Data protection policy for cloud; Data classification in cloud; Contractual data protection provisions</t>
        </is>
      </c>
      <c r="H8" s="7" t="inlineStr">
        <is>
          <t>Inspection</t>
        </is>
      </c>
      <c r="I8" s="7" t="inlineStr"/>
      <c r="J8" s="7" t="inlineStr"/>
      <c r="K8" s="7" t="inlineStr"/>
      <c r="L8" s="7" t="inlineStr"/>
      <c r="M8" s="7" t="inlineStr"/>
      <c r="N8" s="7" t="inlineStr"/>
    </row>
    <row r="9">
      <c r="A9" s="7" t="inlineStr">
        <is>
          <t>App10-A1(e)</t>
        </is>
      </c>
      <c r="B9" s="7" t="inlineStr">
        <is>
          <t>CLD-01.5</t>
        </is>
      </c>
      <c r="C9" s="7" t="inlineStr"/>
      <c r="D9" s="7" t="inlineStr"/>
      <c r="E9" s="7" t="inlineStr">
        <is>
          <t>Onus on FI for customer information</t>
        </is>
      </c>
      <c r="F9" s="7" t="inlineStr">
        <is>
          <t>1. Verify FI retains full accountability for customer information security.
2. Check customer notification/consent for cloud data hosting where required.
3. Verify incident notification to customers covers cloud-related incidents.
4. Confirm customer complaint handling covers cloud service issues.</t>
        </is>
      </c>
      <c r="G9" s="7" t="inlineStr">
        <is>
          <t>Customer information accountability policy; Customer notification records; Incident notification procedures</t>
        </is>
      </c>
      <c r="H9" s="7" t="inlineStr">
        <is>
          <t>Inspection</t>
        </is>
      </c>
      <c r="I9" s="7" t="inlineStr"/>
      <c r="J9" s="7" t="inlineStr"/>
      <c r="K9" s="7" t="inlineStr"/>
      <c r="L9" s="7" t="inlineStr"/>
      <c r="M9" s="7" t="inlineStr"/>
      <c r="N9" s="7" t="inlineStr"/>
    </row>
    <row r="10">
      <c r="A10" s="7" t="inlineStr">
        <is>
          <t>App10-A1(f)</t>
        </is>
      </c>
      <c r="B10" s="7" t="inlineStr">
        <is>
          <t>CLD-01.6</t>
        </is>
      </c>
      <c r="C10" s="7" t="inlineStr"/>
      <c r="D10" s="7" t="inlineStr"/>
      <c r="E10" s="7" t="inlineStr">
        <is>
          <t>Framework articulates board/senior management accountability</t>
        </is>
      </c>
      <c r="F10" s="7" t="inlineStr">
        <is>
          <t>1. Verify framework clearly assigns accountability to board and senior management.
2. Check designated roles for cloud governance oversight.
3. Verify escalation paths for cloud risk decisions.
4. Confirm senior management performance includes cloud risk responsibilities.</t>
        </is>
      </c>
      <c r="G10" s="7" t="inlineStr">
        <is>
          <t>Accountability matrix; Cloud governance roles; Escalation procedures; Senior management KPIs</t>
        </is>
      </c>
      <c r="H10" s="7" t="inlineStr">
        <is>
          <t>Inspection / Inquiry</t>
        </is>
      </c>
      <c r="I10" s="7" t="inlineStr"/>
      <c r="J10" s="7" t="inlineStr"/>
      <c r="K10" s="7" t="inlineStr"/>
      <c r="L10" s="7" t="inlineStr"/>
      <c r="M10" s="7" t="inlineStr"/>
      <c r="N10" s="7" t="inlineStr"/>
    </row>
    <row r="11">
      <c r="A11" s="7" t="inlineStr">
        <is>
          <t>App10-A1(g)</t>
        </is>
      </c>
      <c r="B11" s="7" t="inlineStr">
        <is>
          <t>CLD-01.7</t>
        </is>
      </c>
      <c r="C11" s="7" t="inlineStr"/>
      <c r="D11" s="7" t="inlineStr"/>
      <c r="E11" s="7" t="inlineStr">
        <is>
          <t>Periodic review at least every 3 years</t>
        </is>
      </c>
      <c r="F11" s="7" t="inlineStr">
        <is>
          <t>1. Obtain review history of the cloud risk management framework.
2. Verify reviews conducted at least every 3 years or upon material changes.
3. Check review outcomes actioned and framework updated.
4. Confirm review covers effectiveness of risk mitigation measures.</t>
        </is>
      </c>
      <c r="G11" s="7" t="inlineStr">
        <is>
          <t>Framework review history; Review reports; Action items and completion evidence</t>
        </is>
      </c>
      <c r="H11" s="7" t="inlineStr">
        <is>
          <t>Inspection</t>
        </is>
      </c>
      <c r="I11" s="7" t="inlineStr"/>
      <c r="J11" s="7" t="inlineStr"/>
      <c r="K11" s="7" t="inlineStr"/>
      <c r="L11" s="7" t="inlineStr"/>
      <c r="M11" s="7" t="inlineStr"/>
      <c r="N11" s="7" t="inlineStr"/>
    </row>
    <row r="12">
      <c r="A12" s="12" t="inlineStr">
        <is>
          <t>Area 2 — Cloud Usage Policy</t>
        </is>
      </c>
      <c r="B12" s="13" t="n"/>
      <c r="C12" s="13" t="n"/>
      <c r="D12" s="13" t="n"/>
      <c r="E12" s="13" t="n"/>
      <c r="F12" s="13" t="n"/>
      <c r="G12" s="13" t="n"/>
      <c r="H12" s="13" t="n"/>
      <c r="I12" s="13" t="n"/>
      <c r="J12" s="13" t="n"/>
      <c r="K12" s="13" t="n"/>
      <c r="L12" s="13" t="n"/>
      <c r="M12" s="13" t="n"/>
      <c r="N12" s="13" t="n"/>
    </row>
    <row r="13">
      <c r="A13" s="14" t="inlineStr">
        <is>
          <t>BNM expects documented policies for cloud hosting criteria, a comprehensive asset inventory that includes cloud assets, and regular policy reviews. Without clear policies, cloud adoption decisions are inconsistent and uncontrolled.</t>
        </is>
      </c>
      <c r="B13" s="15" t="n"/>
      <c r="C13" s="15" t="n"/>
      <c r="D13" s="15" t="n"/>
      <c r="E13" s="15" t="n"/>
      <c r="F13" s="15" t="n"/>
      <c r="G13" s="15" t="n"/>
      <c r="H13" s="15" t="n"/>
      <c r="I13" s="15" t="n"/>
      <c r="J13" s="15" t="n"/>
      <c r="K13" s="15" t="n"/>
      <c r="L13" s="15" t="n"/>
      <c r="M13" s="15" t="n"/>
      <c r="N13" s="15" t="n"/>
    </row>
    <row r="14">
      <c r="A14" s="16" t="inlineStr">
        <is>
          <t>App10-A2</t>
        </is>
      </c>
      <c r="B14" s="16" t="inlineStr">
        <is>
          <t>CLD-02</t>
        </is>
      </c>
      <c r="C14" s="16" t="inlineStr">
        <is>
          <t>ORG</t>
        </is>
      </c>
      <c r="D14" s="16" t="inlineStr">
        <is>
          <t>Cloud Usage Policy</t>
        </is>
      </c>
      <c r="E14" s="16" t="inlineStr">
        <is>
          <t>Policies for cloud hosting criteria, asset inventory, and regular review</t>
        </is>
      </c>
      <c r="F14" s="16" t="inlineStr"/>
      <c r="G14" s="16" t="inlineStr"/>
      <c r="H14" s="16" t="inlineStr"/>
      <c r="I14" s="16" t="inlineStr"/>
      <c r="J14" s="16" t="inlineStr"/>
      <c r="K14" s="16" t="inlineStr"/>
      <c r="L14" s="16" t="inlineStr"/>
      <c r="M14" s="17" t="inlineStr"/>
      <c r="N14" s="17" t="inlineStr"/>
    </row>
    <row r="15">
      <c r="A15" s="7" t="inlineStr">
        <is>
          <t>App10-A2(a)</t>
        </is>
      </c>
      <c r="B15" s="7" t="inlineStr">
        <is>
          <t>CLD-02.1</t>
        </is>
      </c>
      <c r="C15" s="7" t="inlineStr"/>
      <c r="D15" s="7" t="inlineStr"/>
      <c r="E15" s="7" t="inlineStr">
        <is>
          <t>Policies for cloud hosting criteria</t>
        </is>
      </c>
      <c r="F15" s="7" t="inlineStr">
        <is>
          <t>1. Obtain cloud usage policy.
2. Verify it defines criteria for what can/cannot be hosted in cloud.
3. Check data classification requirements for cloud placement.
4. Verify approval workflow for new cloud deployments.
5. Confirm policy addresses service model selection criteria.</t>
        </is>
      </c>
      <c r="G15" s="7" t="inlineStr">
        <is>
          <t>Cloud usage policy; Data classification-to-cloud mapping; Cloud deployment approval workflow</t>
        </is>
      </c>
      <c r="H15" s="7" t="inlineStr">
        <is>
          <t>Inspection</t>
        </is>
      </c>
      <c r="I15" s="7" t="inlineStr"/>
      <c r="J15" s="7" t="inlineStr"/>
      <c r="K15" s="7" t="inlineStr"/>
      <c r="L15" s="7" t="inlineStr"/>
      <c r="M15" s="7" t="inlineStr"/>
      <c r="N15" s="7" t="inlineStr"/>
    </row>
    <row r="16">
      <c r="A16" s="7" t="inlineStr">
        <is>
          <t>App10-A2(b)</t>
        </is>
      </c>
      <c r="B16" s="7" t="inlineStr">
        <is>
          <t>CLD-02.2</t>
        </is>
      </c>
      <c r="C16" s="7" t="inlineStr"/>
      <c r="D16" s="7" t="inlineStr"/>
      <c r="E16" s="7" t="inlineStr">
        <is>
          <t>Asset inventory including cloud</t>
        </is>
      </c>
      <c r="F16" s="7" t="inlineStr">
        <is>
          <t>1. Obtain IT asset inventory.
2. Verify cloud assets are included (accounts, subscriptions, services, data stores).
3. Check inventory is accurate and up to date.
4. Verify cloud asset discovery mechanisms in place.
5. Confirm data classification of cloud-hosted assets recorded.</t>
        </is>
      </c>
      <c r="G16" s="7" t="inlineStr">
        <is>
          <t>IT asset inventory with cloud assets; Cloud account/subscription list; Asset discovery tool config</t>
        </is>
      </c>
      <c r="H16" s="7" t="inlineStr">
        <is>
          <t>Inspection</t>
        </is>
      </c>
      <c r="I16" s="7" t="inlineStr"/>
      <c r="J16" s="7" t="inlineStr"/>
      <c r="K16" s="7" t="inlineStr"/>
      <c r="L16" s="7" t="inlineStr"/>
      <c r="M16" s="7" t="inlineStr"/>
      <c r="N16" s="7" t="inlineStr"/>
    </row>
    <row r="17">
      <c r="A17" s="7" t="inlineStr">
        <is>
          <t>App10-A2(c)</t>
        </is>
      </c>
      <c r="B17" s="7" t="inlineStr">
        <is>
          <t>CLD-02.3</t>
        </is>
      </c>
      <c r="C17" s="7" t="inlineStr"/>
      <c r="D17" s="7" t="inlineStr"/>
      <c r="E17" s="7" t="inlineStr">
        <is>
          <t>Regular policy review every 3 years</t>
        </is>
      </c>
      <c r="F17" s="7" t="inlineStr">
        <is>
          <t>1. Obtain policy version history.
2. Verify review cycle is at least every 3 years.
3. Check policy updated to reflect changes in cloud landscape, regulation, or risk.
4. Confirm policy review involves relevant stakeholders.</t>
        </is>
      </c>
      <c r="G17" s="7" t="inlineStr">
        <is>
          <t>Policy version history; Review schedule; Stakeholder sign-off records</t>
        </is>
      </c>
      <c r="H17" s="7" t="inlineStr">
        <is>
          <t>Inspection</t>
        </is>
      </c>
      <c r="I17" s="7" t="inlineStr"/>
      <c r="J17" s="7" t="inlineStr"/>
      <c r="K17" s="7" t="inlineStr"/>
      <c r="L17" s="7" t="inlineStr"/>
      <c r="M17" s="7" t="inlineStr"/>
      <c r="N17" s="7" t="inlineStr"/>
    </row>
    <row r="18">
      <c r="A18" s="12" t="inlineStr">
        <is>
          <t>Area 3 — Due Diligence</t>
        </is>
      </c>
      <c r="B18" s="13" t="n"/>
      <c r="C18" s="13" t="n"/>
      <c r="D18" s="13" t="n"/>
      <c r="E18" s="13" t="n"/>
      <c r="F18" s="13" t="n"/>
      <c r="G18" s="13" t="n"/>
      <c r="H18" s="13" t="n"/>
      <c r="I18" s="13" t="n"/>
      <c r="J18" s="13" t="n"/>
      <c r="K18" s="13" t="n"/>
      <c r="L18" s="13" t="n"/>
      <c r="M18" s="13" t="n"/>
      <c r="N18" s="13" t="n"/>
    </row>
    <row r="19">
      <c r="A19" s="14" t="inlineStr">
        <is>
          <t>BNM requires risk-based due diligence before engaging a CSP. The FI must assess the CSP across multiple risk dimensions including financial stability, security, compliance, and operational resilience.</t>
        </is>
      </c>
      <c r="B19" s="15" t="n"/>
      <c r="C19" s="15" t="n"/>
      <c r="D19" s="15" t="n"/>
      <c r="E19" s="15" t="n"/>
      <c r="F19" s="15" t="n"/>
      <c r="G19" s="15" t="n"/>
      <c r="H19" s="15" t="n"/>
      <c r="I19" s="15" t="n"/>
      <c r="J19" s="15" t="n"/>
      <c r="K19" s="15" t="n"/>
      <c r="L19" s="15" t="n"/>
      <c r="M19" s="15" t="n"/>
      <c r="N19" s="15" t="n"/>
    </row>
    <row r="20">
      <c r="A20" s="16" t="inlineStr">
        <is>
          <t>App10-A3</t>
        </is>
      </c>
      <c r="B20" s="16" t="inlineStr">
        <is>
          <t>CLD-03</t>
        </is>
      </c>
      <c r="C20" s="16" t="inlineStr">
        <is>
          <t>PLATFORM</t>
        </is>
      </c>
      <c r="D20" s="16" t="inlineStr">
        <is>
          <t>Due Diligence</t>
        </is>
      </c>
      <c r="E20" s="16" t="inlineStr">
        <is>
          <t>Risk-based due diligence for CSP selection and ongoing assessment</t>
        </is>
      </c>
      <c r="F20" s="16" t="inlineStr"/>
      <c r="G20" s="16" t="inlineStr"/>
      <c r="H20" s="16" t="inlineStr"/>
      <c r="I20" s="16" t="inlineStr"/>
      <c r="J20" s="16" t="inlineStr"/>
      <c r="K20" s="16" t="inlineStr"/>
      <c r="L20" s="16" t="inlineStr"/>
      <c r="M20" s="17" t="inlineStr"/>
      <c r="N20" s="17" t="inlineStr"/>
    </row>
    <row r="21">
      <c r="A21" s="7" t="inlineStr">
        <is>
          <t>App10-A3</t>
        </is>
      </c>
      <c r="B21" s="7" t="inlineStr">
        <is>
          <t>CLD-03.1</t>
        </is>
      </c>
      <c r="C21" s="7" t="inlineStr"/>
      <c r="D21" s="7" t="inlineStr"/>
      <c r="E21" s="7" t="inlineStr">
        <is>
          <t>CSP due diligence assessment</t>
        </is>
      </c>
      <c r="F21" s="7" t="inlineStr">
        <is>
          <t>1. Obtain due diligence reports for each in-scope CSP.
2. Verify coverage: financial viability, security capabilities, regulatory compliance, data residency, subcontracting, BCP.
3. Check risk-based approach — higher scrutiny for critical workloads.
4. Verify due diligence refreshed at least annually or upon material changes.
5. Confirm due diligence findings inform CSP selection decision.</t>
        </is>
      </c>
      <c r="G21" s="7" t="inlineStr">
        <is>
          <t>Due diligence reports per CSP; Risk assessment methodology; Annual refresh evidence; CSP selection decision records</t>
        </is>
      </c>
      <c r="H21" s="7" t="inlineStr">
        <is>
          <t>Inspection</t>
        </is>
      </c>
      <c r="I21" s="7" t="inlineStr"/>
      <c r="J21" s="7" t="inlineStr"/>
      <c r="K21" s="7" t="inlineStr"/>
      <c r="L21" s="7" t="inlineStr"/>
      <c r="M21" s="7" t="inlineStr"/>
      <c r="N21" s="7" t="inlineStr"/>
    </row>
    <row r="22">
      <c r="A22" s="12" t="inlineStr">
        <is>
          <t>Area 4 — CSP Certifications</t>
        </is>
      </c>
      <c r="B22" s="13" t="n"/>
      <c r="C22" s="13" t="n"/>
      <c r="D22" s="13" t="n"/>
      <c r="E22" s="13" t="n"/>
      <c r="F22" s="13" t="n"/>
      <c r="G22" s="13" t="n"/>
      <c r="H22" s="13" t="n"/>
      <c r="I22" s="13" t="n"/>
      <c r="J22" s="13" t="n"/>
      <c r="K22" s="13" t="n"/>
      <c r="L22" s="13" t="n"/>
      <c r="M22" s="13" t="n"/>
      <c r="N22" s="13" t="n"/>
    </row>
    <row r="23">
      <c r="A23" s="14" t="inlineStr">
        <is>
          <t>BNM expects the FI to seek assurance on CSP compliance through independent certifications and reports. This provides evidence that CSP controls have been independently validated.</t>
        </is>
      </c>
      <c r="B23" s="15" t="n"/>
      <c r="C23" s="15" t="n"/>
      <c r="D23" s="15" t="n"/>
      <c r="E23" s="15" t="n"/>
      <c r="F23" s="15" t="n"/>
      <c r="G23" s="15" t="n"/>
      <c r="H23" s="15" t="n"/>
      <c r="I23" s="15" t="n"/>
      <c r="J23" s="15" t="n"/>
      <c r="K23" s="15" t="n"/>
      <c r="L23" s="15" t="n"/>
      <c r="M23" s="15" t="n"/>
      <c r="N23" s="15" t="n"/>
    </row>
    <row r="24">
      <c r="A24" s="16" t="inlineStr">
        <is>
          <t>App10-A4</t>
        </is>
      </c>
      <c r="B24" s="16" t="inlineStr">
        <is>
          <t>CLD-04</t>
        </is>
      </c>
      <c r="C24" s="16" t="inlineStr">
        <is>
          <t>PLATFORM</t>
        </is>
      </c>
      <c r="D24" s="16" t="inlineStr">
        <is>
          <t>CSP Certifications</t>
        </is>
      </c>
      <c r="E24" s="16" t="inlineStr">
        <is>
          <t>Independent assurance on CSP compliance and control effectiveness</t>
        </is>
      </c>
      <c r="F24" s="16" t="inlineStr"/>
      <c r="G24" s="16" t="inlineStr"/>
      <c r="H24" s="16" t="inlineStr"/>
      <c r="I24" s="16" t="inlineStr"/>
      <c r="J24" s="16" t="inlineStr"/>
      <c r="K24" s="16" t="inlineStr"/>
      <c r="L24" s="16" t="inlineStr"/>
      <c r="M24" s="17" t="inlineStr"/>
      <c r="N24" s="17" t="inlineStr"/>
    </row>
    <row r="25">
      <c r="A25" s="7" t="inlineStr">
        <is>
          <t>App10-A4(a)</t>
        </is>
      </c>
      <c r="B25" s="7" t="inlineStr">
        <is>
          <t>CLD-04.1</t>
        </is>
      </c>
      <c r="C25" s="7" t="inlineStr"/>
      <c r="D25" s="7" t="inlineStr"/>
      <c r="E25" s="7" t="inlineStr">
        <is>
          <t>Assurance on compliance and action plans</t>
        </is>
      </c>
      <c r="F25" s="7" t="inlineStr">
        <is>
          <t>1. Verify FI seeks and obtains assurance on CSP compliance with relevant standards.
2. Check CSP compliance certificates are current (ISO 27001, SOC 2, CSA STAR).
3. Verify certificates cover the services and regions used by the FI.
4. Check FI reviews CSP action plans for any identified gaps.</t>
        </is>
      </c>
      <c r="G25" s="7" t="inlineStr">
        <is>
          <t>CSP compliance certificates; Certificate scope verification; CSP action plans for gaps</t>
        </is>
      </c>
      <c r="H25" s="7" t="inlineStr">
        <is>
          <t>Inspection</t>
        </is>
      </c>
      <c r="I25" s="7" t="inlineStr"/>
      <c r="J25" s="7" t="inlineStr"/>
      <c r="K25" s="7" t="inlineStr"/>
      <c r="L25" s="7" t="inlineStr"/>
      <c r="M25" s="7" t="inlineStr"/>
      <c r="N25" s="7" t="inlineStr"/>
    </row>
    <row r="26">
      <c r="A26" s="7" t="inlineStr">
        <is>
          <t>App10-A4(b)</t>
        </is>
      </c>
      <c r="B26" s="7" t="inlineStr">
        <is>
          <t>CLD-04.2</t>
        </is>
      </c>
      <c r="C26" s="7" t="inlineStr"/>
      <c r="D26" s="7" t="inlineStr"/>
      <c r="E26" s="7" t="inlineStr">
        <is>
          <t>Independent external party reports</t>
        </is>
      </c>
      <c r="F26" s="7" t="inlineStr">
        <is>
          <t>1. Obtain current SOC 2 Type II reports per CSP.
2. Verify report covers services used by the FI.
3. Review exceptions or deficiencies noted in SOC reports.
4. Check CUECs identified in SOC reports are implemented by the FI.
5. Verify CSA STAR or equivalent additional reports obtained where available.</t>
        </is>
      </c>
      <c r="G26" s="7" t="inlineStr">
        <is>
          <t>SOC 2 Type II reports; CUEC implementation evidence; CSA STAR reports; FI review of report findings</t>
        </is>
      </c>
      <c r="H26" s="7" t="inlineStr">
        <is>
          <t>Inspection</t>
        </is>
      </c>
      <c r="I26" s="7" t="inlineStr"/>
      <c r="J26" s="7" t="inlineStr"/>
      <c r="K26" s="7" t="inlineStr"/>
      <c r="L26" s="7" t="inlineStr"/>
      <c r="M26" s="7" t="inlineStr"/>
      <c r="N26" s="7" t="inlineStr"/>
    </row>
    <row r="27">
      <c r="A27" s="12" t="inlineStr">
        <is>
          <t>Area 5 — Contract Management</t>
        </is>
      </c>
      <c r="B27" s="13" t="n"/>
      <c r="C27" s="13" t="n"/>
      <c r="D27" s="13" t="n"/>
      <c r="E27" s="13" t="n"/>
      <c r="F27" s="13" t="n"/>
      <c r="G27" s="13" t="n"/>
      <c r="H27" s="13" t="n"/>
      <c r="I27" s="13" t="n"/>
      <c r="J27" s="13" t="n"/>
      <c r="K27" s="13" t="n"/>
      <c r="L27" s="13" t="n"/>
      <c r="M27" s="13" t="n"/>
      <c r="N27" s="13" t="n"/>
    </row>
    <row r="28">
      <c r="A28" s="14" t="inlineStr">
        <is>
          <t>BNM requires contracts to address cloud-specific and third-party risks including jurisdiction, regulatory compliance, and fourth-party service providers. Contractual provisions are the primary enforcement mechanism for cloud governance.</t>
        </is>
      </c>
      <c r="B28" s="15" t="n"/>
      <c r="C28" s="15" t="n"/>
      <c r="D28" s="15" t="n"/>
      <c r="E28" s="15" t="n"/>
      <c r="F28" s="15" t="n"/>
      <c r="G28" s="15" t="n"/>
      <c r="H28" s="15" t="n"/>
      <c r="I28" s="15" t="n"/>
      <c r="J28" s="15" t="n"/>
      <c r="K28" s="15" t="n"/>
      <c r="L28" s="15" t="n"/>
      <c r="M28" s="15" t="n"/>
      <c r="N28" s="15" t="n"/>
    </row>
    <row r="29">
      <c r="A29" s="16" t="inlineStr">
        <is>
          <t>App10-A5</t>
        </is>
      </c>
      <c r="B29" s="16" t="inlineStr">
        <is>
          <t>CLD-05</t>
        </is>
      </c>
      <c r="C29" s="16" t="inlineStr">
        <is>
          <t>PLATFORM</t>
        </is>
      </c>
      <c r="D29" s="16" t="inlineStr">
        <is>
          <t>Contract Management</t>
        </is>
      </c>
      <c r="E29" s="16" t="inlineStr">
        <is>
          <t>Cloud contract provisions for risk, jurisdiction, compliance, and fourth parties</t>
        </is>
      </c>
      <c r="F29" s="16" t="inlineStr"/>
      <c r="G29" s="16" t="inlineStr"/>
      <c r="H29" s="16" t="inlineStr"/>
      <c r="I29" s="16" t="inlineStr"/>
      <c r="J29" s="16" t="inlineStr"/>
      <c r="K29" s="16" t="inlineStr"/>
      <c r="L29" s="16" t="inlineStr"/>
      <c r="M29" s="17" t="inlineStr"/>
      <c r="N29" s="17" t="inlineStr"/>
    </row>
    <row r="30">
      <c r="A30" s="7" t="inlineStr">
        <is>
          <t>App10-A5(a)</t>
        </is>
      </c>
      <c r="B30" s="7" t="inlineStr">
        <is>
          <t>CLD-05.1</t>
        </is>
      </c>
      <c r="C30" s="7" t="inlineStr"/>
      <c r="D30" s="7" t="inlineStr"/>
      <c r="E30" s="7" t="inlineStr">
        <is>
          <t>Contracts address cloud/third party risks</t>
        </is>
      </c>
      <c r="F30" s="7" t="inlineStr">
        <is>
          <t>1. Review contracts with each in-scope CSP.
2. Verify contracts address: right to audit, data ownership/portability, data residency, breach notification, termination/exit.
3. Check contracts reviewed by legal and compliance.
4. Verify BNM inspection access preserved.</t>
        </is>
      </c>
      <c r="G30" s="7" t="inlineStr">
        <is>
          <t>CSP contracts; Legal/compliance review records; Contract compliance checklist</t>
        </is>
      </c>
      <c r="H30" s="7" t="inlineStr">
        <is>
          <t>Inspection</t>
        </is>
      </c>
      <c r="I30" s="7" t="inlineStr"/>
      <c r="J30" s="7" t="inlineStr"/>
      <c r="K30" s="7" t="inlineStr"/>
      <c r="L30" s="7" t="inlineStr"/>
      <c r="M30" s="7" t="inlineStr"/>
      <c r="N30" s="7" t="inlineStr"/>
    </row>
    <row r="31">
      <c r="A31" s="7" t="inlineStr">
        <is>
          <t>App10-A5(b)(i)</t>
        </is>
      </c>
      <c r="B31" s="7" t="inlineStr">
        <is>
          <t>CLD-05.2</t>
        </is>
      </c>
      <c r="C31" s="7" t="inlineStr"/>
      <c r="D31" s="7" t="inlineStr"/>
      <c r="E31" s="7" t="inlineStr">
        <is>
          <t>Jurisdiction risks — data residency</t>
        </is>
      </c>
      <c r="F31" s="7" t="inlineStr">
        <is>
          <t>1. Identify data residency requirements per data classification.
2. Verify contractual provisions specify permitted data locations.
3. Check CSP configs prevent data replication to non-approved regions.
4. Verify BNM approval obtained for data outside Malaysia if required.</t>
        </is>
      </c>
      <c r="G31" s="7" t="inlineStr">
        <is>
          <t>Data residency requirements; Contractual location provisions; CSP region config; BNM approval records</t>
        </is>
      </c>
      <c r="H31" s="7" t="inlineStr">
        <is>
          <t>Inspection</t>
        </is>
      </c>
      <c r="I31" s="7" t="inlineStr"/>
      <c r="J31" s="7" t="inlineStr"/>
      <c r="K31" s="7" t="inlineStr"/>
      <c r="L31" s="7" t="inlineStr"/>
      <c r="M31" s="7" t="inlineStr"/>
      <c r="N31" s="7" t="inlineStr"/>
    </row>
    <row r="32">
      <c r="A32" s="7" t="inlineStr">
        <is>
          <t>App10-A5(b)(ii)</t>
        </is>
      </c>
      <c r="B32" s="7" t="inlineStr">
        <is>
          <t>CLD-05.3</t>
        </is>
      </c>
      <c r="C32" s="7" t="inlineStr"/>
      <c r="D32" s="7" t="inlineStr"/>
      <c r="E32" s="7" t="inlineStr">
        <is>
          <t>Jurisdiction risks — legal and regulatory</t>
        </is>
      </c>
      <c r="F32" s="7" t="inlineStr">
        <is>
          <t>1. Assess legal/regulatory risks of hosting in foreign jurisdictions.
2. Verify contract addresses governing law and dispute resolution.
3. Check data protection laws of hosting jurisdiction assessed.
4. Confirm cross-border data flow requirements met.</t>
        </is>
      </c>
      <c r="G32" s="7" t="inlineStr">
        <is>
          <t>Jurisdiction risk assessment; Legal opinion; Cross-border data flow assessment</t>
        </is>
      </c>
      <c r="H32" s="7" t="inlineStr">
        <is>
          <t>Inspection</t>
        </is>
      </c>
      <c r="I32" s="7" t="inlineStr"/>
      <c r="J32" s="7" t="inlineStr"/>
      <c r="K32" s="7" t="inlineStr"/>
      <c r="L32" s="7" t="inlineStr"/>
      <c r="M32" s="7" t="inlineStr"/>
      <c r="N32" s="7" t="inlineStr"/>
    </row>
    <row r="33">
      <c r="A33" s="7" t="inlineStr">
        <is>
          <t>App10-A5(b)(iii)</t>
        </is>
      </c>
      <c r="B33" s="7" t="inlineStr">
        <is>
          <t>CLD-05.4</t>
        </is>
      </c>
      <c r="C33" s="7" t="inlineStr"/>
      <c r="D33" s="7" t="inlineStr"/>
      <c r="E33" s="7" t="inlineStr">
        <is>
          <t>Jurisdiction risks — access by foreign authorities</t>
        </is>
      </c>
      <c r="F33" s="7" t="inlineStr">
        <is>
          <t>1. Assess risk of data access by foreign government/law enforcement.
2. Verify notification provisions in contract for government access requests.
3. Check encryption and key management mitigate unauthorised access risk.
4. Verify FI awareness of extraterritorial data access laws.</t>
        </is>
      </c>
      <c r="G33" s="7" t="inlineStr">
        <is>
          <t>Foreign access risk assessment; Contract notification provisions; Encryption/key management for foreign access mitigation</t>
        </is>
      </c>
      <c r="H33" s="7" t="inlineStr">
        <is>
          <t>Inspection</t>
        </is>
      </c>
      <c r="I33" s="7" t="inlineStr"/>
      <c r="J33" s="7" t="inlineStr"/>
      <c r="K33" s="7" t="inlineStr"/>
      <c r="L33" s="7" t="inlineStr"/>
      <c r="M33" s="7" t="inlineStr"/>
      <c r="N33" s="7" t="inlineStr"/>
    </row>
    <row r="34">
      <c r="A34" s="7" t="inlineStr">
        <is>
          <t>App10-A5(c)</t>
        </is>
      </c>
      <c r="B34" s="7" t="inlineStr">
        <is>
          <t>CLD-05.5</t>
        </is>
      </c>
      <c r="C34" s="7" t="inlineStr"/>
      <c r="D34" s="7" t="inlineStr"/>
      <c r="E34" s="7" t="inlineStr">
        <is>
          <t>Potential impact and regulatory compliance</t>
        </is>
      </c>
      <c r="F34" s="7" t="inlineStr">
        <is>
          <t>1. Verify contract addresses potential impact of CSP failure or breach.
2. Check financial penalties/SLA credits for service level failures.
3. Confirm regulatory compliance obligations flow down to CSP.
4. Verify FI can demonstrate compliance to BNM through CSP arrangements.</t>
        </is>
      </c>
      <c r="G34" s="7" t="inlineStr">
        <is>
          <t>Contract SLA and penalty provisions; Regulatory compliance flow-down clauses; Demonstrable compliance mechanism</t>
        </is>
      </c>
      <c r="H34" s="7" t="inlineStr">
        <is>
          <t>Inspection</t>
        </is>
      </c>
      <c r="I34" s="7" t="inlineStr"/>
      <c r="J34" s="7" t="inlineStr"/>
      <c r="K34" s="7" t="inlineStr"/>
      <c r="L34" s="7" t="inlineStr"/>
      <c r="M34" s="7" t="inlineStr"/>
      <c r="N34" s="7" t="inlineStr"/>
    </row>
    <row r="35">
      <c r="A35" s="7" t="inlineStr">
        <is>
          <t>App10-A5(d)(i)</t>
        </is>
      </c>
      <c r="B35" s="7" t="inlineStr">
        <is>
          <t>CLD-05.6</t>
        </is>
      </c>
      <c r="C35" s="7" t="inlineStr"/>
      <c r="D35" s="7" t="inlineStr"/>
      <c r="E35" s="7" t="inlineStr">
        <is>
          <t>Fourth party risks — sub-processor controls</t>
        </is>
      </c>
      <c r="F35" s="7" t="inlineStr">
        <is>
          <t>1. Identify CSP sub-processors/fourth parties.
2. Verify contract requires CSP notification of sub-processor changes.
3. Check FI approval rights for material sub-processor changes.
4. Verify sub-processor security requirements equivalent to CSP obligations.</t>
        </is>
      </c>
      <c r="G35" s="7" t="inlineStr">
        <is>
          <t>Sub-processor list; Contract sub-processor provisions; Notification/approval records</t>
        </is>
      </c>
      <c r="H35" s="7" t="inlineStr">
        <is>
          <t>Inspection</t>
        </is>
      </c>
      <c r="I35" s="7" t="inlineStr"/>
      <c r="J35" s="7" t="inlineStr"/>
      <c r="K35" s="7" t="inlineStr"/>
      <c r="L35" s="7" t="inlineStr"/>
      <c r="M35" s="7" t="inlineStr"/>
      <c r="N35" s="7" t="inlineStr"/>
    </row>
    <row r="36">
      <c r="A36" s="7" t="inlineStr">
        <is>
          <t>App10-A5(d)(ii)</t>
        </is>
      </c>
      <c r="B36" s="7" t="inlineStr">
        <is>
          <t>CLD-05.7</t>
        </is>
      </c>
      <c r="C36" s="7" t="inlineStr"/>
      <c r="D36" s="7" t="inlineStr"/>
      <c r="E36" s="7" t="inlineStr">
        <is>
          <t>Fourth party risks — oversight and concentration</t>
        </is>
      </c>
      <c r="F36" s="7" t="inlineStr">
        <is>
          <t>1. Assess concentration risk from key fourth parties.
2. Verify CSP oversight extends to critical fourth parties.
3. Check FI can obtain assurance on fourth party controls.
4. Confirm fourth party failure scenarios addressed in BCP.</t>
        </is>
      </c>
      <c r="G36" s="7" t="inlineStr">
        <is>
          <t>Fourth party concentration analysis; CSP fourth party oversight evidence; BCP fourth party scenarios</t>
        </is>
      </c>
      <c r="H36" s="7" t="inlineStr">
        <is>
          <t>Inspection</t>
        </is>
      </c>
      <c r="I36" s="7" t="inlineStr"/>
      <c r="J36" s="7" t="inlineStr"/>
      <c r="K36" s="7" t="inlineStr"/>
      <c r="L36" s="7" t="inlineStr"/>
      <c r="M36" s="7" t="inlineStr"/>
      <c r="N36" s="7" t="inlineStr"/>
    </row>
    <row r="37">
      <c r="A37" s="12" t="inlineStr">
        <is>
          <t>Area 6 — Oversight over CSPs</t>
        </is>
      </c>
      <c r="B37" s="13" t="n"/>
      <c r="C37" s="13" t="n"/>
      <c r="D37" s="13" t="n"/>
      <c r="E37" s="13" t="n"/>
      <c r="F37" s="13" t="n"/>
      <c r="G37" s="13" t="n"/>
      <c r="H37" s="13" t="n"/>
      <c r="I37" s="13" t="n"/>
      <c r="J37" s="13" t="n"/>
      <c r="K37" s="13" t="n"/>
      <c r="L37" s="13" t="n"/>
      <c r="M37" s="13" t="n"/>
      <c r="N37" s="13" t="n"/>
    </row>
    <row r="38">
      <c r="A38" s="14" t="inlineStr">
        <is>
          <t>BNM requires continuous monitoring mechanisms, defined key responsibilities, periodic assessments, and prompt risk reassessment upon material changes. Ongoing oversight ensures cloud risk remains within tolerance.</t>
        </is>
      </c>
      <c r="B38" s="15" t="n"/>
      <c r="C38" s="15" t="n"/>
      <c r="D38" s="15" t="n"/>
      <c r="E38" s="15" t="n"/>
      <c r="F38" s="15" t="n"/>
      <c r="G38" s="15" t="n"/>
      <c r="H38" s="15" t="n"/>
      <c r="I38" s="15" t="n"/>
      <c r="J38" s="15" t="n"/>
      <c r="K38" s="15" t="n"/>
      <c r="L38" s="15" t="n"/>
      <c r="M38" s="15" t="n"/>
      <c r="N38" s="15" t="n"/>
    </row>
    <row r="39">
      <c r="A39" s="16" t="inlineStr">
        <is>
          <t>App10-A6</t>
        </is>
      </c>
      <c r="B39" s="16" t="inlineStr">
        <is>
          <t>CLD-06</t>
        </is>
      </c>
      <c r="C39" s="16" t="inlineStr">
        <is>
          <t>ORG</t>
        </is>
      </c>
      <c r="D39" s="16" t="inlineStr">
        <is>
          <t>Oversight over CSPs</t>
        </is>
      </c>
      <c r="E39" s="16" t="inlineStr">
        <is>
          <t>Continuous monitoring, periodic assessments, and prompt reassessment on changes</t>
        </is>
      </c>
      <c r="F39" s="16" t="inlineStr"/>
      <c r="G39" s="16" t="inlineStr"/>
      <c r="H39" s="16" t="inlineStr"/>
      <c r="I39" s="16" t="inlineStr"/>
      <c r="J39" s="16" t="inlineStr"/>
      <c r="K39" s="16" t="inlineStr"/>
      <c r="L39" s="16" t="inlineStr"/>
      <c r="M39" s="17" t="inlineStr"/>
      <c r="N39" s="17" t="inlineStr"/>
    </row>
    <row r="40">
      <c r="A40" s="7" t="inlineStr">
        <is>
          <t>App10-A6(a)</t>
        </is>
      </c>
      <c r="B40" s="7" t="inlineStr">
        <is>
          <t>CLD-06.1</t>
        </is>
      </c>
      <c r="C40" s="7" t="inlineStr"/>
      <c r="D40" s="7" t="inlineStr"/>
      <c r="E40" s="7" t="inlineStr">
        <is>
          <t>Continuous monitoring mechanism</t>
        </is>
      </c>
      <c r="F40" s="7" t="inlineStr">
        <is>
          <t>1. Verify continuous monitoring of CSP performance and security posture.
2. Check monitoring covers SLA compliance, incident notifications, security advisories.
3. Verify automated monitoring tools deployed (CSPM, SLA dashboards).
4. Confirm monitoring results reported to management.</t>
        </is>
      </c>
      <c r="G40" s="7" t="inlineStr">
        <is>
          <t>CSP monitoring framework; Monitoring tool config; SLA dashboards; Management reports</t>
        </is>
      </c>
      <c r="H40" s="7" t="inlineStr">
        <is>
          <t>Inspection</t>
        </is>
      </c>
      <c r="I40" s="7" t="inlineStr"/>
      <c r="J40" s="7" t="inlineStr"/>
      <c r="K40" s="7" t="inlineStr"/>
      <c r="L40" s="7" t="inlineStr"/>
      <c r="M40" s="7" t="inlineStr"/>
      <c r="N40" s="7" t="inlineStr"/>
    </row>
    <row r="41">
      <c r="A41" s="7" t="inlineStr">
        <is>
          <t>App10-A6(b)</t>
        </is>
      </c>
      <c r="B41" s="7" t="inlineStr">
        <is>
          <t>CLD-06.2</t>
        </is>
      </c>
      <c r="C41" s="7" t="inlineStr"/>
      <c r="D41" s="7" t="inlineStr"/>
      <c r="E41" s="7" t="inlineStr">
        <is>
          <t>Key responsibilities for monitoring</t>
        </is>
      </c>
      <c r="F41" s="7" t="inlineStr">
        <is>
          <t>1. Verify defined roles and responsibilities for CSP oversight.
2. Check monitoring responsibilities assigned to named individuals/teams.
3. Verify escalation procedures for CSP issues.
4. Confirm oversight activities are documented.</t>
        </is>
      </c>
      <c r="G41" s="7" t="inlineStr">
        <is>
          <t>CSP oversight RACI; Named role assignments; Escalation procedures; Oversight activity records</t>
        </is>
      </c>
      <c r="H41" s="7" t="inlineStr">
        <is>
          <t>Inspection / Inquiry</t>
        </is>
      </c>
      <c r="I41" s="7" t="inlineStr"/>
      <c r="J41" s="7" t="inlineStr"/>
      <c r="K41" s="7" t="inlineStr"/>
      <c r="L41" s="7" t="inlineStr"/>
      <c r="M41" s="7" t="inlineStr"/>
      <c r="N41" s="7" t="inlineStr"/>
    </row>
    <row r="42">
      <c r="A42" s="7" t="inlineStr">
        <is>
          <t>App10-A6(c)</t>
        </is>
      </c>
      <c r="B42" s="7" t="inlineStr">
        <is>
          <t>CLD-06.3</t>
        </is>
      </c>
      <c r="C42" s="7" t="inlineStr"/>
      <c r="D42" s="7" t="inlineStr"/>
      <c r="E42" s="7" t="inlineStr">
        <is>
          <t>Periodic assessments</t>
        </is>
      </c>
      <c r="F42" s="7" t="inlineStr">
        <is>
          <t>1. Verify periodic CSP assessments conducted (at least annual).
2. Check assessments cover security, performance, compliance, and contract adherence.
3. Review most recent CSP assessment report.
4. Confirm findings tracked and remediated.</t>
        </is>
      </c>
      <c r="G42" s="7" t="inlineStr">
        <is>
          <t>CSP assessment schedule; Assessment reports; Finding tracker; Remediation evidence</t>
        </is>
      </c>
      <c r="H42" s="7" t="inlineStr">
        <is>
          <t>Inspection</t>
        </is>
      </c>
      <c r="I42" s="7" t="inlineStr"/>
      <c r="J42" s="7" t="inlineStr"/>
      <c r="K42" s="7" t="inlineStr"/>
      <c r="L42" s="7" t="inlineStr"/>
      <c r="M42" s="7" t="inlineStr"/>
      <c r="N42" s="7" t="inlineStr"/>
    </row>
    <row r="43">
      <c r="A43" s="7" t="inlineStr">
        <is>
          <t>App10-A6(d)</t>
        </is>
      </c>
      <c r="B43" s="7" t="inlineStr">
        <is>
          <t>CLD-06.4</t>
        </is>
      </c>
      <c r="C43" s="7" t="inlineStr"/>
      <c r="D43" s="7" t="inlineStr"/>
      <c r="E43" s="7" t="inlineStr">
        <is>
          <t>Prompt review upon material changes</t>
        </is>
      </c>
      <c r="F43" s="7" t="inlineStr">
        <is>
          <t>1. Verify process for reassessing CSP risk upon material changes.
2. Check triggers defined (CSP M&amp;A, major incidents, regulation changes, service changes).
3. Review any recent trigger events and confirm reassessment was performed.
4. Verify reassessment outcomes documented.</t>
        </is>
      </c>
      <c r="G43" s="7" t="inlineStr">
        <is>
          <t>Material change trigger process; Trigger event log; Reassessment records</t>
        </is>
      </c>
      <c r="H43" s="7" t="inlineStr">
        <is>
          <t>Inspection</t>
        </is>
      </c>
      <c r="I43" s="7" t="inlineStr"/>
      <c r="J43" s="7" t="inlineStr"/>
      <c r="K43" s="7" t="inlineStr"/>
      <c r="L43" s="7" t="inlineStr"/>
      <c r="M43" s="7" t="inlineStr"/>
      <c r="N43" s="7" t="inlineStr"/>
    </row>
    <row r="44">
      <c r="A44" s="12" t="inlineStr">
        <is>
          <t>Area 7 — Skilled Personnel</t>
        </is>
      </c>
      <c r="B44" s="13" t="n"/>
      <c r="C44" s="13" t="n"/>
      <c r="D44" s="13" t="n"/>
      <c r="E44" s="13" t="n"/>
      <c r="F44" s="13" t="n"/>
      <c r="G44" s="13" t="n"/>
      <c r="H44" s="13" t="n"/>
      <c r="I44" s="13" t="n"/>
      <c r="J44" s="13" t="n"/>
      <c r="K44" s="13" t="n"/>
      <c r="L44" s="13" t="n"/>
      <c r="M44" s="13" t="n"/>
      <c r="N44" s="13" t="n"/>
    </row>
    <row r="45">
      <c r="A45" s="14" t="inlineStr">
        <is>
          <t>BNM requires internal resources with cloud expertise, cross-functional involvement (not purely IT), equipped internal audit, adequate training, and consequence management. Without skilled personnel, the FI cannot independently govern cloud risk.</t>
        </is>
      </c>
      <c r="B45" s="15" t="n"/>
      <c r="C45" s="15" t="n"/>
      <c r="D45" s="15" t="n"/>
      <c r="E45" s="15" t="n"/>
      <c r="F45" s="15" t="n"/>
      <c r="G45" s="15" t="n"/>
      <c r="H45" s="15" t="n"/>
      <c r="I45" s="15" t="n"/>
      <c r="J45" s="15" t="n"/>
      <c r="K45" s="15" t="n"/>
      <c r="L45" s="15" t="n"/>
      <c r="M45" s="15" t="n"/>
      <c r="N45" s="15" t="n"/>
    </row>
    <row r="46">
      <c r="A46" s="16" t="inlineStr">
        <is>
          <t>App10-A7</t>
        </is>
      </c>
      <c r="B46" s="16" t="inlineStr">
        <is>
          <t>CLD-07</t>
        </is>
      </c>
      <c r="C46" s="16" t="inlineStr">
        <is>
          <t>ORG</t>
        </is>
      </c>
      <c r="D46" s="16" t="inlineStr">
        <is>
          <t>Skilled Personnel</t>
        </is>
      </c>
      <c r="E46" s="16" t="inlineStr">
        <is>
          <t>Internal cloud expertise, training, audit capability, and consequence management</t>
        </is>
      </c>
      <c r="F46" s="16" t="inlineStr"/>
      <c r="G46" s="16" t="inlineStr"/>
      <c r="H46" s="16" t="inlineStr"/>
      <c r="I46" s="16" t="inlineStr"/>
      <c r="J46" s="16" t="inlineStr"/>
      <c r="K46" s="16" t="inlineStr"/>
      <c r="L46" s="16" t="inlineStr"/>
      <c r="M46" s="17" t="inlineStr"/>
      <c r="N46" s="17" t="inlineStr"/>
    </row>
    <row r="47">
      <c r="A47" s="7" t="inlineStr">
        <is>
          <t>App10-A7(a)(i)</t>
        </is>
      </c>
      <c r="B47" s="7" t="inlineStr">
        <is>
          <t>CLD-07.1</t>
        </is>
      </c>
      <c r="C47" s="7" t="inlineStr"/>
      <c r="D47" s="7" t="inlineStr"/>
      <c r="E47" s="7" t="inlineStr">
        <is>
          <t>Internal resources — cloud expertise</t>
        </is>
      </c>
      <c r="F47" s="7" t="inlineStr">
        <is>
          <t>1. Review cloud team structure and headcount.
2. Verify cloud certifications held by key personnel (CCSP, CCSK, AWS/Azure/GCP certs).
3. Check skills gap analysis conducted.
4. Verify FI can independently assess CSP configurations.</t>
        </is>
      </c>
      <c r="G47" s="7" t="inlineStr">
        <is>
          <t>Cloud team org chart; Certification records; Skills gap analysis</t>
        </is>
      </c>
      <c r="H47" s="7" t="inlineStr">
        <is>
          <t>Inspection / Inquiry</t>
        </is>
      </c>
      <c r="I47" s="7" t="inlineStr"/>
      <c r="J47" s="7" t="inlineStr"/>
      <c r="K47" s="7" t="inlineStr"/>
      <c r="L47" s="7" t="inlineStr"/>
      <c r="M47" s="7" t="inlineStr"/>
      <c r="N47" s="7" t="inlineStr"/>
    </row>
    <row r="48">
      <c r="A48" s="7" t="inlineStr">
        <is>
          <t>App10-A7(a)(ii)</t>
        </is>
      </c>
      <c r="B48" s="7" t="inlineStr">
        <is>
          <t>CLD-07.2</t>
        </is>
      </c>
      <c r="C48" s="7" t="inlineStr"/>
      <c r="D48" s="7" t="inlineStr"/>
      <c r="E48" s="7" t="inlineStr">
        <is>
          <t>Internal resources — succession planning</t>
        </is>
      </c>
      <c r="F48" s="7" t="inlineStr">
        <is>
          <t>1. Verify succession planning for critical cloud roles.
2. Check cross-training in place.
3. Confirm knowledge documentation for key processes.
4. Verify contingency arrangements for key personnel departure.</t>
        </is>
      </c>
      <c r="G48" s="7" t="inlineStr">
        <is>
          <t>Succession plans; Cross-training records; Knowledge base; Contingency arrangements</t>
        </is>
      </c>
      <c r="H48" s="7" t="inlineStr">
        <is>
          <t>Inspection</t>
        </is>
      </c>
      <c r="I48" s="7" t="inlineStr"/>
      <c r="J48" s="7" t="inlineStr"/>
      <c r="K48" s="7" t="inlineStr"/>
      <c r="L48" s="7" t="inlineStr"/>
      <c r="M48" s="7" t="inlineStr"/>
      <c r="N48" s="7" t="inlineStr"/>
    </row>
    <row r="49">
      <c r="A49" s="7" t="inlineStr">
        <is>
          <t>App10-A7(b)</t>
        </is>
      </c>
      <c r="B49" s="7" t="inlineStr">
        <is>
          <t>CLD-07.3</t>
        </is>
      </c>
      <c r="C49" s="7" t="inlineStr"/>
      <c r="D49" s="7" t="inlineStr"/>
      <c r="E49" s="7" t="inlineStr">
        <is>
          <t>Not purely IT responsibility</t>
        </is>
      </c>
      <c r="F49" s="7" t="inlineStr">
        <is>
          <t>1. Verify cloud governance involves risk management, compliance, legal, and business functions.
2. Check cloud governance committee/forum includes non-IT representatives.
3. Verify business stakeholders participate in cloud risk decisions.
4. Confirm risk and compliance functions have cloud oversight roles.</t>
        </is>
      </c>
      <c r="G49" s="7" t="inlineStr">
        <is>
          <t>Governance committee membership; Meeting minutes showing cross-functional participation; RACI showing non-IT roles</t>
        </is>
      </c>
      <c r="H49" s="7" t="inlineStr">
        <is>
          <t>Inspection</t>
        </is>
      </c>
      <c r="I49" s="7" t="inlineStr"/>
      <c r="J49" s="7" t="inlineStr"/>
      <c r="K49" s="7" t="inlineStr"/>
      <c r="L49" s="7" t="inlineStr"/>
      <c r="M49" s="7" t="inlineStr"/>
      <c r="N49" s="7" t="inlineStr"/>
    </row>
    <row r="50">
      <c r="A50" s="7" t="inlineStr">
        <is>
          <t>App10-A7(c)</t>
        </is>
      </c>
      <c r="B50" s="7" t="inlineStr">
        <is>
          <t>CLD-07.4</t>
        </is>
      </c>
      <c r="C50" s="7" t="inlineStr"/>
      <c r="D50" s="7" t="inlineStr"/>
      <c r="E50" s="7" t="inlineStr">
        <is>
          <t>Equip internal audit</t>
        </is>
      </c>
      <c r="F50" s="7" t="inlineStr">
        <is>
          <t>1. Verify internal audit has cloud audit capability.
2. Check audit plan includes cloud-specific audits.
3. Verify internal auditors have relevant cloud training/certifications.
4. Confirm audit methodology covers cloud-specific risks.</t>
        </is>
      </c>
      <c r="G50" s="7" t="inlineStr">
        <is>
          <t>Internal audit plan; Cloud audit reports; Auditor cloud certifications; Cloud audit methodology</t>
        </is>
      </c>
      <c r="H50" s="7" t="inlineStr">
        <is>
          <t>Inspection</t>
        </is>
      </c>
      <c r="I50" s="7" t="inlineStr"/>
      <c r="J50" s="7" t="inlineStr"/>
      <c r="K50" s="7" t="inlineStr"/>
      <c r="L50" s="7" t="inlineStr"/>
      <c r="M50" s="7" t="inlineStr"/>
      <c r="N50" s="7" t="inlineStr"/>
    </row>
    <row r="51">
      <c r="A51" s="7" t="inlineStr">
        <is>
          <t>App10-A7(d)</t>
        </is>
      </c>
      <c r="B51" s="7" t="inlineStr">
        <is>
          <t>CLD-07.5</t>
        </is>
      </c>
      <c r="C51" s="7" t="inlineStr"/>
      <c r="D51" s="7" t="inlineStr"/>
      <c r="E51" s="7" t="inlineStr">
        <is>
          <t>Adequate training</t>
        </is>
      </c>
      <c r="F51" s="7" t="inlineStr">
        <is>
          <t>1. Obtain training plan for cloud-related staff.
2. Verify training covers security, operations, and compliance.
3. Check training records for completeness.
4. Verify training currency (refreshed at least annually).</t>
        </is>
      </c>
      <c r="G51" s="7" t="inlineStr">
        <is>
          <t>Training plan; Training records; Training content; Training completion rates</t>
        </is>
      </c>
      <c r="H51" s="7" t="inlineStr">
        <is>
          <t>Inspection</t>
        </is>
      </c>
      <c r="I51" s="7" t="inlineStr"/>
      <c r="J51" s="7" t="inlineStr"/>
      <c r="K51" s="7" t="inlineStr"/>
      <c r="L51" s="7" t="inlineStr"/>
      <c r="M51" s="7" t="inlineStr"/>
      <c r="N51" s="7" t="inlineStr"/>
    </row>
    <row r="52">
      <c r="A52" s="7" t="inlineStr">
        <is>
          <t>App10-A7(e)</t>
        </is>
      </c>
      <c r="B52" s="7" t="inlineStr">
        <is>
          <t>CLD-07.6</t>
        </is>
      </c>
      <c r="C52" s="7" t="inlineStr"/>
      <c r="D52" s="7" t="inlineStr"/>
      <c r="E52" s="7" t="inlineStr">
        <is>
          <t>Consequence management</t>
        </is>
      </c>
      <c r="F52" s="7" t="inlineStr">
        <is>
          <t>1. Verify consequence management framework covers cloud-related non-compliance.
2. Check accountability for cloud security breaches defined.
3. Verify enforcement actions documented.
4. Confirm awareness of consequences communicated to staff.</t>
        </is>
      </c>
      <c r="G52" s="7" t="inlineStr">
        <is>
          <t>Consequence management framework; Accountability provisions; Enforcement records; Awareness materials</t>
        </is>
      </c>
      <c r="H52" s="7" t="inlineStr">
        <is>
          <t>Inspection</t>
        </is>
      </c>
      <c r="I52" s="7" t="inlineStr"/>
      <c r="J52" s="7" t="inlineStr"/>
      <c r="K52" s="7" t="inlineStr"/>
      <c r="L52" s="7" t="inlineStr"/>
      <c r="M52" s="7" t="inlineStr"/>
      <c r="N52" s="7" t="inlineStr"/>
    </row>
  </sheetData>
  <mergeCells count="14">
    <mergeCell ref="A18:N18"/>
    <mergeCell ref="A27:N27"/>
    <mergeCell ref="A3:N3"/>
    <mergeCell ref="A22:N22"/>
    <mergeCell ref="A12:N12"/>
    <mergeCell ref="A45:N45"/>
    <mergeCell ref="A38:N38"/>
    <mergeCell ref="A2:N2"/>
    <mergeCell ref="A19:N19"/>
    <mergeCell ref="A28:N28"/>
    <mergeCell ref="A23:N23"/>
    <mergeCell ref="A13:N13"/>
    <mergeCell ref="A44:N44"/>
    <mergeCell ref="A37:N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7"/>
  <sheetViews>
    <sheetView workbookViewId="0">
      <selection activeCell="A1" sqref="A1"/>
    </sheetView>
  </sheetViews>
  <sheetFormatPr baseColWidth="8" defaultRowHeight="15"/>
  <cols>
    <col width="14" customWidth="1" min="1" max="1"/>
    <col width="10" customWidth="1" min="2" max="2"/>
    <col width="11" customWidth="1" min="3" max="3"/>
    <col width="22" customWidth="1" min="4" max="4"/>
    <col width="28" customWidth="1" min="5" max="5"/>
    <col width="50" customWidth="1" min="6" max="6"/>
    <col width="35" customWidth="1" min="7" max="7"/>
    <col width="14" customWidth="1" min="8" max="8"/>
    <col width="30" customWidth="1" min="9" max="9"/>
    <col width="25" customWidth="1" min="10" max="10"/>
    <col width="12" customWidth="1" min="11" max="11"/>
    <col width="30" customWidth="1" min="12" max="12"/>
    <col width="16" customWidth="1" min="13" max="13"/>
    <col width="30" customWidth="1" min="14" max="14"/>
  </cols>
  <sheetData>
    <row r="1">
      <c r="A1" s="11" t="inlineStr">
        <is>
          <t>BNM Ref</t>
        </is>
      </c>
      <c r="B1" s="11" t="inlineStr">
        <is>
          <t>Ref</t>
        </is>
      </c>
      <c r="C1" s="11" t="inlineStr">
        <is>
          <t>Level</t>
        </is>
      </c>
      <c r="D1" s="11" t="inlineStr">
        <is>
          <t>Control Domain</t>
        </is>
      </c>
      <c r="E1" s="11" t="inlineStr">
        <is>
          <t>Sub-Procedure</t>
        </is>
      </c>
      <c r="F1" s="11" t="inlineStr">
        <is>
          <t>Assessment Procedures</t>
        </is>
      </c>
      <c r="G1" s="11" t="inlineStr">
        <is>
          <t>Expected Evidence</t>
        </is>
      </c>
      <c r="H1" s="11" t="inlineStr">
        <is>
          <t>Method</t>
        </is>
      </c>
      <c r="I1" s="11" t="inlineStr">
        <is>
          <t>Procedures Performed</t>
        </is>
      </c>
      <c r="J1" s="11" t="inlineStr">
        <is>
          <t>Evidence Obtained</t>
        </is>
      </c>
      <c r="K1" s="11" t="inlineStr">
        <is>
          <t>Evidence Ref</t>
        </is>
      </c>
      <c r="L1" s="11" t="inlineStr">
        <is>
          <t>Observations</t>
        </is>
      </c>
      <c r="M1" s="11" t="inlineStr">
        <is>
          <t>Conclusion</t>
        </is>
      </c>
      <c r="N1" s="11" t="inlineStr">
        <is>
          <t>Recommendations</t>
        </is>
      </c>
    </row>
    <row r="2">
      <c r="A2" s="12" t="inlineStr">
        <is>
          <t>B1 — Cloud Architecture</t>
        </is>
      </c>
      <c r="B2" s="13" t="n"/>
      <c r="C2" s="13" t="n"/>
      <c r="D2" s="13" t="n"/>
      <c r="E2" s="13" t="n"/>
      <c r="F2" s="13" t="n"/>
      <c r="G2" s="13" t="n"/>
      <c r="H2" s="13" t="n"/>
      <c r="I2" s="13" t="n"/>
      <c r="J2" s="13" t="n"/>
      <c r="K2" s="13" t="n"/>
      <c r="L2" s="13" t="n"/>
      <c r="M2" s="13" t="n"/>
      <c r="N2" s="13" t="n"/>
    </row>
    <row r="3">
      <c r="A3" s="14" t="inlineStr">
        <is>
          <t>Cloud architecture must support resilience, security, and scalability. Expect multi-AZ design, proper segmentation, well-architected review. Poor architecture creates systemic risk.</t>
        </is>
      </c>
      <c r="B3" s="15" t="n"/>
      <c r="C3" s="15" t="n"/>
      <c r="D3" s="15" t="n"/>
      <c r="E3" s="15" t="n"/>
      <c r="F3" s="15" t="n"/>
      <c r="G3" s="15" t="n"/>
      <c r="H3" s="15" t="n"/>
      <c r="I3" s="15" t="n"/>
      <c r="J3" s="15" t="n"/>
      <c r="K3" s="15" t="n"/>
      <c r="L3" s="15" t="n"/>
      <c r="M3" s="15" t="n"/>
      <c r="N3" s="15" t="n"/>
    </row>
    <row r="4">
      <c r="A4" s="16" t="inlineStr">
        <is>
          <t>App10-B1</t>
        </is>
      </c>
      <c r="B4" s="16" t="inlineStr">
        <is>
          <t>CLD-08</t>
        </is>
      </c>
      <c r="C4" s="16" t="inlineStr">
        <is>
          <t>PLATFORM</t>
        </is>
      </c>
      <c r="D4" s="16" t="inlineStr">
        <is>
          <t>Cloud Architecture</t>
        </is>
      </c>
      <c r="E4" s="16" t="inlineStr">
        <is>
          <t>Architecture design, multi-AZ, segmentation, and landing zone</t>
        </is>
      </c>
      <c r="F4" s="16" t="inlineStr"/>
      <c r="G4" s="16" t="inlineStr"/>
      <c r="H4" s="16" t="inlineStr"/>
      <c r="I4" s="16" t="inlineStr"/>
      <c r="J4" s="16" t="inlineStr"/>
      <c r="K4" s="16" t="inlineStr"/>
      <c r="L4" s="16" t="inlineStr"/>
      <c r="M4" s="17" t="inlineStr"/>
      <c r="N4" s="17" t="inlineStr"/>
    </row>
    <row r="5">
      <c r="A5" s="7" t="inlineStr">
        <is>
          <t>App10-B1(a)</t>
        </is>
      </c>
      <c r="B5" s="7" t="inlineStr">
        <is>
          <t>CLD-08.1</t>
        </is>
      </c>
      <c r="C5" s="7" t="inlineStr"/>
      <c r="D5" s="7" t="inlineStr"/>
      <c r="E5" s="7" t="inlineStr">
        <is>
          <t>Architecture design principles</t>
        </is>
      </c>
      <c r="F5" s="7" t="inlineStr">
        <is>
          <t>1. Obtain cloud architecture design documents.
2. Verify adherence to well-architected framework principles.
3. Check architecture reviewed by qualified cloud architects.</t>
        </is>
      </c>
      <c r="G5" s="7" t="inlineStr">
        <is>
          <t>Cloud architecture docs; Well-architected review reports; Architect review records</t>
        </is>
      </c>
      <c r="H5" s="7" t="inlineStr">
        <is>
          <t>Inspection</t>
        </is>
      </c>
      <c r="I5" s="7" t="inlineStr"/>
      <c r="J5" s="7" t="inlineStr"/>
      <c r="K5" s="7" t="inlineStr"/>
      <c r="L5" s="7" t="inlineStr"/>
      <c r="M5" s="7" t="inlineStr"/>
      <c r="N5" s="7" t="inlineStr"/>
    </row>
    <row r="6">
      <c r="A6" s="7" t="inlineStr">
        <is>
          <t>App10-B1(b)</t>
        </is>
      </c>
      <c r="B6" s="7" t="inlineStr">
        <is>
          <t>CLD-08.2</t>
        </is>
      </c>
      <c r="C6" s="7" t="inlineStr"/>
      <c r="D6" s="7" t="inlineStr"/>
      <c r="E6" s="7" t="inlineStr">
        <is>
          <t>Multi-AZ/multi-region for critical workloads</t>
        </is>
      </c>
      <c r="F6" s="7" t="inlineStr">
        <is>
          <t>1. Verify multi-AZ or multi-region deployment for critical workloads.
2. Check failover mechanisms tested.
3. Confirm RTO/RPO met by architecture design.</t>
        </is>
      </c>
      <c r="G6" s="7" t="inlineStr">
        <is>
          <t>Multi-AZ/region deployment evidence; Failover test results; RTO/RPO validation</t>
        </is>
      </c>
      <c r="H6" s="7" t="inlineStr">
        <is>
          <t>Inspection</t>
        </is>
      </c>
      <c r="I6" s="7" t="inlineStr"/>
      <c r="J6" s="7" t="inlineStr"/>
      <c r="K6" s="7" t="inlineStr"/>
      <c r="L6" s="7" t="inlineStr"/>
      <c r="M6" s="7" t="inlineStr"/>
      <c r="N6" s="7" t="inlineStr"/>
    </row>
    <row r="7">
      <c r="A7" s="7" t="inlineStr">
        <is>
          <t>App10-B1(c)</t>
        </is>
      </c>
      <c r="B7" s="7" t="inlineStr">
        <is>
          <t>CLD-08.3</t>
        </is>
      </c>
      <c r="C7" s="7" t="inlineStr"/>
      <c r="D7" s="7" t="inlineStr"/>
      <c r="E7" s="7" t="inlineStr">
        <is>
          <t>Network architecture and segmentation</t>
        </is>
      </c>
      <c r="F7" s="7" t="inlineStr">
        <is>
          <t>1. Review VPC/VNET design and subnet segmentation.
2. Verify security groups and NACLs follow least-privilege.
3. Check isolation between workloads and environments.</t>
        </is>
      </c>
      <c r="G7" s="7" t="inlineStr">
        <is>
          <t>VPC/VNET design; Security group configs; NACL rules; Environment isolation evidence</t>
        </is>
      </c>
      <c r="H7" s="7" t="inlineStr">
        <is>
          <t>Inspection</t>
        </is>
      </c>
      <c r="I7" s="7" t="inlineStr"/>
      <c r="J7" s="7" t="inlineStr"/>
      <c r="K7" s="7" t="inlineStr"/>
      <c r="L7" s="7" t="inlineStr"/>
      <c r="M7" s="7" t="inlineStr"/>
      <c r="N7" s="7" t="inlineStr"/>
    </row>
    <row r="8">
      <c r="A8" s="7" t="inlineStr">
        <is>
          <t>App10-B1(d)</t>
        </is>
      </c>
      <c r="B8" s="7" t="inlineStr">
        <is>
          <t>CLD-08.4</t>
        </is>
      </c>
      <c r="C8" s="7" t="inlineStr"/>
      <c r="D8" s="7" t="inlineStr"/>
      <c r="E8" s="7" t="inlineStr">
        <is>
          <t>Landing zone and account structure</t>
        </is>
      </c>
      <c r="F8" s="7" t="inlineStr">
        <is>
          <t>1. Verify landing zone / account structure design.
2. Check separation of concerns (production, staging, development, sandbox).
3. Verify guardrails and SCPs applied.
4. Confirm account provisioning follows approved process.</t>
        </is>
      </c>
      <c r="G8" s="7" t="inlineStr">
        <is>
          <t>Landing zone documentation; Account structure; SCP/guardrail configs; Account provisioning process</t>
        </is>
      </c>
      <c r="H8" s="7" t="inlineStr">
        <is>
          <t>Inspection</t>
        </is>
      </c>
      <c r="I8" s="7" t="inlineStr"/>
      <c r="J8" s="7" t="inlineStr"/>
      <c r="K8" s="7" t="inlineStr"/>
      <c r="L8" s="7" t="inlineStr"/>
      <c r="M8" s="7" t="inlineStr"/>
      <c r="N8" s="7" t="inlineStr"/>
    </row>
    <row r="9">
      <c r="A9" s="7" t="inlineStr">
        <is>
          <t>App10-B1(e)</t>
        </is>
      </c>
      <c r="B9" s="7" t="inlineStr">
        <is>
          <t>CLD-08.5</t>
        </is>
      </c>
      <c r="C9" s="7" t="inlineStr"/>
      <c r="D9" s="7" t="inlineStr"/>
      <c r="E9" s="7" t="inlineStr">
        <is>
          <t>API and service endpoint security</t>
        </is>
      </c>
      <c r="F9" s="7" t="inlineStr">
        <is>
          <t>1. Review API gateway and service endpoint configurations.
2. Verify authentication and authorisation for all endpoints.
3. Check rate limiting and throttling.
4. Confirm private endpoints used where appropriate.</t>
        </is>
      </c>
      <c r="G9" s="7" t="inlineStr">
        <is>
          <t>API gateway config; Endpoint auth config; Rate limiting; Private endpoint deployment</t>
        </is>
      </c>
      <c r="H9" s="7" t="inlineStr">
        <is>
          <t>Inspection</t>
        </is>
      </c>
      <c r="I9" s="7" t="inlineStr"/>
      <c r="J9" s="7" t="inlineStr"/>
      <c r="K9" s="7" t="inlineStr"/>
      <c r="L9" s="7" t="inlineStr"/>
      <c r="M9" s="7" t="inlineStr"/>
      <c r="N9" s="7" t="inlineStr"/>
    </row>
    <row r="10">
      <c r="A10" s="7" t="inlineStr">
        <is>
          <t>App10-B1(f)</t>
        </is>
      </c>
      <c r="B10" s="7" t="inlineStr">
        <is>
          <t>CLD-08.6</t>
        </is>
      </c>
      <c r="C10" s="7" t="inlineStr"/>
      <c r="D10" s="7" t="inlineStr"/>
      <c r="E10" s="7" t="inlineStr">
        <is>
          <t>Architecture documentation and currency</t>
        </is>
      </c>
      <c r="F10" s="7" t="inlineStr">
        <is>
          <t>1. Verify architecture documentation is current and version-controlled.
2. Check diagrams reflect actual deployment.
3. Confirm change management for architecture changes.
4. Verify architecture reviewed at least annually.</t>
        </is>
      </c>
      <c r="G10" s="7" t="inlineStr">
        <is>
          <t>Architecture version history; Diagram accuracy verification; Change records; Annual review evidence</t>
        </is>
      </c>
      <c r="H10" s="7" t="inlineStr">
        <is>
          <t>Inspection</t>
        </is>
      </c>
      <c r="I10" s="7" t="inlineStr"/>
      <c r="J10" s="7" t="inlineStr"/>
      <c r="K10" s="7" t="inlineStr"/>
      <c r="L10" s="7" t="inlineStr"/>
      <c r="M10" s="7" t="inlineStr"/>
      <c r="N10" s="7" t="inlineStr"/>
    </row>
    <row r="11">
      <c r="A11" s="12" t="inlineStr">
        <is>
          <t>B2 — Cloud Application Delivery</t>
        </is>
      </c>
      <c r="B11" s="13" t="n"/>
      <c r="C11" s="13" t="n"/>
      <c r="D11" s="13" t="n"/>
      <c r="E11" s="13" t="n"/>
      <c r="F11" s="13" t="n"/>
      <c r="G11" s="13" t="n"/>
      <c r="H11" s="13" t="n"/>
      <c r="I11" s="13" t="n"/>
      <c r="J11" s="13" t="n"/>
      <c r="K11" s="13" t="n"/>
      <c r="L11" s="13" t="n"/>
      <c r="M11" s="13" t="n"/>
      <c r="N11" s="13" t="n"/>
    </row>
    <row r="12">
      <c r="A12" s="14" t="inlineStr">
        <is>
          <t>Application delivery must be secure and governed. Expect secure CI/CD pipelines, security gates, controlled deployments. Uncontrolled application delivery introduces vulnerabilities.</t>
        </is>
      </c>
      <c r="B12" s="15" t="n"/>
      <c r="C12" s="15" t="n"/>
      <c r="D12" s="15" t="n"/>
      <c r="E12" s="15" t="n"/>
      <c r="F12" s="15" t="n"/>
      <c r="G12" s="15" t="n"/>
      <c r="H12" s="15" t="n"/>
      <c r="I12" s="15" t="n"/>
      <c r="J12" s="15" t="n"/>
      <c r="K12" s="15" t="n"/>
      <c r="L12" s="15" t="n"/>
      <c r="M12" s="15" t="n"/>
      <c r="N12" s="15" t="n"/>
    </row>
    <row r="13">
      <c r="A13" s="16" t="inlineStr">
        <is>
          <t>App10-B2</t>
        </is>
      </c>
      <c r="B13" s="16" t="inlineStr">
        <is>
          <t>CLD-09</t>
        </is>
      </c>
      <c r="C13" s="16" t="inlineStr">
        <is>
          <t>PLATFORM</t>
        </is>
      </c>
      <c r="D13" s="16" t="inlineStr">
        <is>
          <t>Cloud Application Delivery</t>
        </is>
      </c>
      <c r="E13" s="16" t="inlineStr">
        <is>
          <t>Secure CI/CD, security gates, and deployment governance</t>
        </is>
      </c>
      <c r="F13" s="16" t="inlineStr"/>
      <c r="G13" s="16" t="inlineStr"/>
      <c r="H13" s="16" t="inlineStr"/>
      <c r="I13" s="16" t="inlineStr"/>
      <c r="J13" s="16" t="inlineStr"/>
      <c r="K13" s="16" t="inlineStr"/>
      <c r="L13" s="16" t="inlineStr"/>
      <c r="M13" s="17" t="inlineStr"/>
      <c r="N13" s="17" t="inlineStr"/>
    </row>
    <row r="14">
      <c r="A14" s="7" t="inlineStr">
        <is>
          <t>App10-B2(a)</t>
        </is>
      </c>
      <c r="B14" s="7" t="inlineStr">
        <is>
          <t>CLD-09.1</t>
        </is>
      </c>
      <c r="C14" s="7" t="inlineStr"/>
      <c r="D14" s="7" t="inlineStr"/>
      <c r="E14" s="7" t="inlineStr">
        <is>
          <t>CI/CD pipeline security</t>
        </is>
      </c>
      <c r="F14" s="7" t="inlineStr">
        <is>
          <t>1. Review CI/CD pipeline architecture.
2. Verify pipeline configs version-controlled and access-restricted.
3. Check secrets not hardcoded in pipeline configurations.
4. Confirm pipeline runs in secure, isolated environments.</t>
        </is>
      </c>
      <c r="G14" s="7" t="inlineStr">
        <is>
          <t>CI/CD architecture; Pipeline access controls; Secrets management; Pipeline isolation</t>
        </is>
      </c>
      <c r="H14" s="7" t="inlineStr">
        <is>
          <t>Inspection</t>
        </is>
      </c>
      <c r="I14" s="7" t="inlineStr"/>
      <c r="J14" s="7" t="inlineStr"/>
      <c r="K14" s="7" t="inlineStr"/>
      <c r="L14" s="7" t="inlineStr"/>
      <c r="M14" s="7" t="inlineStr"/>
      <c r="N14" s="7" t="inlineStr"/>
    </row>
    <row r="15">
      <c r="A15" s="7" t="inlineStr">
        <is>
          <t>App10-B2(b)(i)</t>
        </is>
      </c>
      <c r="B15" s="7" t="inlineStr">
        <is>
          <t>CLD-09.2</t>
        </is>
      </c>
      <c r="C15" s="7" t="inlineStr"/>
      <c r="D15" s="7" t="inlineStr"/>
      <c r="E15" s="7" t="inlineStr">
        <is>
          <t>Security gates — static and dynamic analysis</t>
        </is>
      </c>
      <c r="F15" s="7" t="inlineStr">
        <is>
          <t>1. Verify SAST integrated into CI/CD pipeline.
2. Check DAST performed before production deployment.
3. Confirm security gate failures block deployment.
4. Verify SCA for third-party dependencies.</t>
        </is>
      </c>
      <c r="G15" s="7" t="inlineStr">
        <is>
          <t>SAST integration config; DAST reports; Gate failure records; SCA scan results</t>
        </is>
      </c>
      <c r="H15" s="7" t="inlineStr">
        <is>
          <t>Inspection</t>
        </is>
      </c>
      <c r="I15" s="7" t="inlineStr"/>
      <c r="J15" s="7" t="inlineStr"/>
      <c r="K15" s="7" t="inlineStr"/>
      <c r="L15" s="7" t="inlineStr"/>
      <c r="M15" s="7" t="inlineStr"/>
      <c r="N15" s="7" t="inlineStr"/>
    </row>
    <row r="16">
      <c r="A16" s="7" t="inlineStr">
        <is>
          <t>App10-B2(b)(ii)</t>
        </is>
      </c>
      <c r="B16" s="7" t="inlineStr">
        <is>
          <t>CLD-09.3</t>
        </is>
      </c>
      <c r="C16" s="7" t="inlineStr"/>
      <c r="D16" s="7" t="inlineStr"/>
      <c r="E16" s="7" t="inlineStr">
        <is>
          <t>Security gates — container and IaC scanning</t>
        </is>
      </c>
      <c r="F16" s="7" t="inlineStr">
        <is>
          <t>1. Verify container image scanning before deployment.
2. Check IaC templates scanned for misconfigurations.
3. Confirm base images from approved registries only.
4. Verify vulnerability thresholds enforced.</t>
        </is>
      </c>
      <c r="G16" s="7" t="inlineStr">
        <is>
          <t>Container scanning config; IaC scanning tool; Approved registry list; Vulnerability threshold policy</t>
        </is>
      </c>
      <c r="H16" s="7" t="inlineStr">
        <is>
          <t>Inspection</t>
        </is>
      </c>
      <c r="I16" s="7" t="inlineStr"/>
      <c r="J16" s="7" t="inlineStr"/>
      <c r="K16" s="7" t="inlineStr"/>
      <c r="L16" s="7" t="inlineStr"/>
      <c r="M16" s="7" t="inlineStr"/>
      <c r="N16" s="7" t="inlineStr"/>
    </row>
    <row r="17">
      <c r="A17" s="7" t="inlineStr">
        <is>
          <t>App10-B2(c)(i)</t>
        </is>
      </c>
      <c r="B17" s="7" t="inlineStr">
        <is>
          <t>CLD-09.4</t>
        </is>
      </c>
      <c r="C17" s="7" t="inlineStr"/>
      <c r="D17" s="7" t="inlineStr"/>
      <c r="E17" s="7" t="inlineStr">
        <is>
          <t>Deployment governance — approval workflows</t>
        </is>
      </c>
      <c r="F17" s="7" t="inlineStr">
        <is>
          <t>1. Verify production deployment requires approval.
2. Check approval workflow documented and enforced.
3. Confirm emergency deployment procedures exist.
4. Verify deployment rollback capability.</t>
        </is>
      </c>
      <c r="G17" s="7" t="inlineStr">
        <is>
          <t>Deployment approval workflow; Approval records; Emergency procedures; Rollback evidence</t>
        </is>
      </c>
      <c r="H17" s="7" t="inlineStr">
        <is>
          <t>Inspection</t>
        </is>
      </c>
      <c r="I17" s="7" t="inlineStr"/>
      <c r="J17" s="7" t="inlineStr"/>
      <c r="K17" s="7" t="inlineStr"/>
      <c r="L17" s="7" t="inlineStr"/>
      <c r="M17" s="7" t="inlineStr"/>
      <c r="N17" s="7" t="inlineStr"/>
    </row>
    <row r="18">
      <c r="A18" s="7" t="inlineStr">
        <is>
          <t>App10-B2(c)(ii)</t>
        </is>
      </c>
      <c r="B18" s="7" t="inlineStr">
        <is>
          <t>CLD-09.5</t>
        </is>
      </c>
      <c r="C18" s="7" t="inlineStr"/>
      <c r="D18" s="7" t="inlineStr"/>
      <c r="E18" s="7" t="inlineStr">
        <is>
          <t>Deployment governance — environment separation</t>
        </is>
      </c>
      <c r="F18" s="7" t="inlineStr">
        <is>
          <t>1. Verify environment separation (dev, staging, production).
2. Check production data not used in non-production without masking.
3. Confirm separate credentials per environment.
4. Verify deployment promotion process controls.</t>
        </is>
      </c>
      <c r="G18" s="7" t="inlineStr">
        <is>
          <t>Environment architecture; Data masking evidence; Per-environment credentials; Promotion controls</t>
        </is>
      </c>
      <c r="H18" s="7" t="inlineStr">
        <is>
          <t>Inspection</t>
        </is>
      </c>
      <c r="I18" s="7" t="inlineStr"/>
      <c r="J18" s="7" t="inlineStr"/>
      <c r="K18" s="7" t="inlineStr"/>
      <c r="L18" s="7" t="inlineStr"/>
      <c r="M18" s="7" t="inlineStr"/>
      <c r="N18" s="7" t="inlineStr"/>
    </row>
    <row r="19">
      <c r="A19" s="7" t="inlineStr">
        <is>
          <t>App10-B2(c)(iii)</t>
        </is>
      </c>
      <c r="B19" s="7" t="inlineStr">
        <is>
          <t>CLD-09.6</t>
        </is>
      </c>
      <c r="C19" s="7" t="inlineStr"/>
      <c r="D19" s="7" t="inlineStr"/>
      <c r="E19" s="7" t="inlineStr">
        <is>
          <t>Deployment governance — release management</t>
        </is>
      </c>
      <c r="F19" s="7" t="inlineStr">
        <is>
          <t>1. Verify release management process.
2. Check release notes and change documentation.
3. Confirm post-deployment validation.
4. Verify rollback executed successfully when needed.</t>
        </is>
      </c>
      <c r="G19" s="7" t="inlineStr">
        <is>
          <t>Release management process; Release notes; Post-deployment validation; Rollback records</t>
        </is>
      </c>
      <c r="H19" s="7" t="inlineStr">
        <is>
          <t>Inspection</t>
        </is>
      </c>
      <c r="I19" s="7" t="inlineStr"/>
      <c r="J19" s="7" t="inlineStr"/>
      <c r="K19" s="7" t="inlineStr"/>
      <c r="L19" s="7" t="inlineStr"/>
      <c r="M19" s="7" t="inlineStr"/>
      <c r="N19" s="7" t="inlineStr"/>
    </row>
    <row r="20">
      <c r="A20" s="12" t="inlineStr">
        <is>
          <t>B3 — Virtualisation/Containerisation</t>
        </is>
      </c>
      <c r="B20" s="13" t="n"/>
      <c r="C20" s="13" t="n"/>
      <c r="D20" s="13" t="n"/>
      <c r="E20" s="13" t="n"/>
      <c r="F20" s="13" t="n"/>
      <c r="G20" s="13" t="n"/>
      <c r="H20" s="13" t="n"/>
      <c r="I20" s="13" t="n"/>
      <c r="J20" s="13" t="n"/>
      <c r="K20" s="13" t="n"/>
      <c r="L20" s="13" t="n"/>
      <c r="M20" s="13" t="n"/>
      <c r="N20" s="13" t="n"/>
    </row>
    <row r="21">
      <c r="A21" s="14" t="inlineStr">
        <is>
          <t>Virtualisation and containerisation introduce shared-resource risks. Expect hypervisor hardening, container runtime security, image governance, and workload isolation. Escape vulnerabilities can cross tenant boundaries.</t>
        </is>
      </c>
      <c r="B21" s="15" t="n"/>
      <c r="C21" s="15" t="n"/>
      <c r="D21" s="15" t="n"/>
      <c r="E21" s="15" t="n"/>
      <c r="F21" s="15" t="n"/>
      <c r="G21" s="15" t="n"/>
      <c r="H21" s="15" t="n"/>
      <c r="I21" s="15" t="n"/>
      <c r="J21" s="15" t="n"/>
      <c r="K21" s="15" t="n"/>
      <c r="L21" s="15" t="n"/>
      <c r="M21" s="15" t="n"/>
      <c r="N21" s="15" t="n"/>
    </row>
    <row r="22">
      <c r="A22" s="16" t="inlineStr">
        <is>
          <t>App10-B3</t>
        </is>
      </c>
      <c r="B22" s="16" t="inlineStr">
        <is>
          <t>CLD-10</t>
        </is>
      </c>
      <c r="C22" s="16" t="inlineStr">
        <is>
          <t>PLATFORM</t>
        </is>
      </c>
      <c r="D22" s="16" t="inlineStr">
        <is>
          <t>Virtualisation/Containerisation</t>
        </is>
      </c>
      <c r="E22" s="16" t="inlineStr">
        <is>
          <t>Hypervisor security, container governance, runtime controls, and workload isolation</t>
        </is>
      </c>
      <c r="F22" s="16" t="inlineStr"/>
      <c r="G22" s="16" t="inlineStr"/>
      <c r="H22" s="16" t="inlineStr"/>
      <c r="I22" s="16" t="inlineStr"/>
      <c r="J22" s="16" t="inlineStr"/>
      <c r="K22" s="16" t="inlineStr"/>
      <c r="L22" s="16" t="inlineStr"/>
      <c r="M22" s="17" t="inlineStr"/>
      <c r="N22" s="17" t="inlineStr"/>
    </row>
    <row r="23">
      <c r="A23" s="7" t="inlineStr">
        <is>
          <t>App10-B3(a)</t>
        </is>
      </c>
      <c r="B23" s="7" t="inlineStr">
        <is>
          <t>CLD-10.1</t>
        </is>
      </c>
      <c r="C23" s="7" t="inlineStr"/>
      <c r="D23" s="7" t="inlineStr"/>
      <c r="E23" s="7" t="inlineStr">
        <is>
          <t>Hypervisor and host security</t>
        </is>
      </c>
      <c r="F23" s="7" t="inlineStr">
        <is>
          <t>1. Verify hypervisor hardening per vendor/CIS benchmarks.
2. Check host OS patching and vulnerability management.
3. Confirm management plane access restricted and monitored.</t>
        </is>
      </c>
      <c r="G23" s="7" t="inlineStr">
        <is>
          <t>Hypervisor hardening evidence; CIS benchmark compliance; Patch status; Management access controls</t>
        </is>
      </c>
      <c r="H23" s="7" t="inlineStr">
        <is>
          <t>Inspection</t>
        </is>
      </c>
      <c r="I23" s="7" t="inlineStr"/>
      <c r="J23" s="7" t="inlineStr"/>
      <c r="K23" s="7" t="inlineStr"/>
      <c r="L23" s="7" t="inlineStr"/>
      <c r="M23" s="7" t="inlineStr"/>
      <c r="N23" s="7" t="inlineStr"/>
    </row>
    <row r="24">
      <c r="A24" s="7" t="inlineStr">
        <is>
          <t>App10-B3(b)(i)</t>
        </is>
      </c>
      <c r="B24" s="7" t="inlineStr">
        <is>
          <t>CLD-10.2</t>
        </is>
      </c>
      <c r="C24" s="7" t="inlineStr"/>
      <c r="D24" s="7" t="inlineStr"/>
      <c r="E24" s="7" t="inlineStr">
        <is>
          <t>Container image governance</t>
        </is>
      </c>
      <c r="F24" s="7" t="inlineStr">
        <is>
          <t>1. Verify container images sourced from approved registries.
2. Check image scanning for vulnerabilities before deployment.
3. Confirm base images maintained and updated.
4. Verify image signing and integrity verification.</t>
        </is>
      </c>
      <c r="G24" s="7" t="inlineStr">
        <is>
          <t>Approved registry list; Image scanning reports; Base image maintenance; Image signing config</t>
        </is>
      </c>
      <c r="H24" s="7" t="inlineStr">
        <is>
          <t>Inspection</t>
        </is>
      </c>
      <c r="I24" s="7" t="inlineStr"/>
      <c r="J24" s="7" t="inlineStr"/>
      <c r="K24" s="7" t="inlineStr"/>
      <c r="L24" s="7" t="inlineStr"/>
      <c r="M24" s="7" t="inlineStr"/>
      <c r="N24" s="7" t="inlineStr"/>
    </row>
    <row r="25">
      <c r="A25" s="7" t="inlineStr">
        <is>
          <t>App10-B3(b)(ii)</t>
        </is>
      </c>
      <c r="B25" s="7" t="inlineStr">
        <is>
          <t>CLD-10.3</t>
        </is>
      </c>
      <c r="C25" s="7" t="inlineStr"/>
      <c r="D25" s="7" t="inlineStr"/>
      <c r="E25" s="7" t="inlineStr">
        <is>
          <t>Container runtime security</t>
        </is>
      </c>
      <c r="F25" s="7" t="inlineStr">
        <is>
          <t>1. Verify containers run as non-root.
2. Check read-only file systems enforced where possible.
3. Confirm resource limits set (CPU, memory).
4. Verify runtime security monitoring deployed.</t>
        </is>
      </c>
      <c r="G25" s="7" t="inlineStr">
        <is>
          <t>Container security policy; Runtime config; Resource limits; Runtime monitoring</t>
        </is>
      </c>
      <c r="H25" s="7" t="inlineStr">
        <is>
          <t>Inspection</t>
        </is>
      </c>
      <c r="I25" s="7" t="inlineStr"/>
      <c r="J25" s="7" t="inlineStr"/>
      <c r="K25" s="7" t="inlineStr"/>
      <c r="L25" s="7" t="inlineStr"/>
      <c r="M25" s="7" t="inlineStr"/>
      <c r="N25" s="7" t="inlineStr"/>
    </row>
    <row r="26">
      <c r="A26" s="7" t="inlineStr">
        <is>
          <t>App10-B3(b)(iii)</t>
        </is>
      </c>
      <c r="B26" s="7" t="inlineStr">
        <is>
          <t>CLD-10.4</t>
        </is>
      </c>
      <c r="C26" s="7" t="inlineStr"/>
      <c r="D26" s="7" t="inlineStr"/>
      <c r="E26" s="7" t="inlineStr">
        <is>
          <t>Container network policies</t>
        </is>
      </c>
      <c r="F26" s="7" t="inlineStr">
        <is>
          <t>1. Verify pod/container network policies enforce segmentation.
2. Check default deny network policy.
3. Confirm inter-service communication authenticated.
4. Verify service mesh security where deployed.</t>
        </is>
      </c>
      <c r="G26" s="7" t="inlineStr">
        <is>
          <t>Network policies; Default deny evidence; Service authentication; Service mesh config</t>
        </is>
      </c>
      <c r="H26" s="7" t="inlineStr">
        <is>
          <t>Inspection</t>
        </is>
      </c>
      <c r="I26" s="7" t="inlineStr"/>
      <c r="J26" s="7" t="inlineStr"/>
      <c r="K26" s="7" t="inlineStr"/>
      <c r="L26" s="7" t="inlineStr"/>
      <c r="M26" s="7" t="inlineStr"/>
      <c r="N26" s="7" t="inlineStr"/>
    </row>
    <row r="27">
      <c r="A27" s="7" t="inlineStr">
        <is>
          <t>App10-B3(b)(iv)</t>
        </is>
      </c>
      <c r="B27" s="7" t="inlineStr">
        <is>
          <t>CLD-10.5</t>
        </is>
      </c>
      <c r="C27" s="7" t="inlineStr"/>
      <c r="D27" s="7" t="inlineStr"/>
      <c r="E27" s="7" t="inlineStr">
        <is>
          <t>Orchestrator hardening</t>
        </is>
      </c>
      <c r="F27" s="7" t="inlineStr">
        <is>
          <t>1. Verify orchestrator (Kubernetes, ECS, etc.) hardened per CIS benchmarks.
2. Check RBAC configured with least privilege.
3. Confirm API server access restricted.
4. Verify secrets management for orchestrator.</t>
        </is>
      </c>
      <c r="G27" s="7" t="inlineStr">
        <is>
          <t>CIS benchmark compliance; RBAC config; API server access controls; Secrets management</t>
        </is>
      </c>
      <c r="H27" s="7" t="inlineStr">
        <is>
          <t>Inspection</t>
        </is>
      </c>
      <c r="I27" s="7" t="inlineStr"/>
      <c r="J27" s="7" t="inlineStr"/>
      <c r="K27" s="7" t="inlineStr"/>
      <c r="L27" s="7" t="inlineStr"/>
      <c r="M27" s="7" t="inlineStr"/>
      <c r="N27" s="7" t="inlineStr"/>
    </row>
    <row r="28">
      <c r="A28" s="7" t="inlineStr">
        <is>
          <t>App10-B3(b)(v)</t>
        </is>
      </c>
      <c r="B28" s="7" t="inlineStr">
        <is>
          <t>CLD-10.6</t>
        </is>
      </c>
      <c r="C28" s="7" t="inlineStr"/>
      <c r="D28" s="7" t="inlineStr"/>
      <c r="E28" s="7" t="inlineStr">
        <is>
          <t>Container logging and monitoring</t>
        </is>
      </c>
      <c r="F28" s="7" t="inlineStr">
        <is>
          <t>1. Verify container logs captured and centralised.
2. Check security events from containers forwarded to SIEM.
3. Confirm container anomaly detection.
4. Verify log retention for containers.</t>
        </is>
      </c>
      <c r="G28" s="7" t="inlineStr">
        <is>
          <t>Container logging config; SIEM integration; Anomaly detection; Log retention</t>
        </is>
      </c>
      <c r="H28" s="7" t="inlineStr">
        <is>
          <t>Inspection</t>
        </is>
      </c>
      <c r="I28" s="7" t="inlineStr"/>
      <c r="J28" s="7" t="inlineStr"/>
      <c r="K28" s="7" t="inlineStr"/>
      <c r="L28" s="7" t="inlineStr"/>
      <c r="M28" s="7" t="inlineStr"/>
      <c r="N28" s="7" t="inlineStr"/>
    </row>
    <row r="29">
      <c r="A29" s="7" t="inlineStr">
        <is>
          <t>App10-B3(b)(vi)</t>
        </is>
      </c>
      <c r="B29" s="7" t="inlineStr">
        <is>
          <t>CLD-10.7</t>
        </is>
      </c>
      <c r="C29" s="7" t="inlineStr"/>
      <c r="D29" s="7" t="inlineStr"/>
      <c r="E29" s="7" t="inlineStr">
        <is>
          <t>Workload isolation</t>
        </is>
      </c>
      <c r="F29" s="7" t="inlineStr">
        <is>
          <t>1. Verify workload isolation between tenants/environments.
2. Check namespace isolation in orchestrator.
3. Confirm resource quotas prevent noisy neighbour.
4. Verify sensitive workloads on dedicated infrastructure where required.</t>
        </is>
      </c>
      <c r="G29" s="7" t="inlineStr">
        <is>
          <t>Isolation architecture; Namespace config; Resource quotas; Dedicated infrastructure evidence</t>
        </is>
      </c>
      <c r="H29" s="7" t="inlineStr">
        <is>
          <t>Inspection</t>
        </is>
      </c>
      <c r="I29" s="7" t="inlineStr"/>
      <c r="J29" s="7" t="inlineStr"/>
      <c r="K29" s="7" t="inlineStr"/>
      <c r="L29" s="7" t="inlineStr"/>
      <c r="M29" s="7" t="inlineStr"/>
      <c r="N29" s="7" t="inlineStr"/>
    </row>
    <row r="30">
      <c r="A30" s="12" t="inlineStr">
        <is>
          <t>B4 — Change Management</t>
        </is>
      </c>
      <c r="B30" s="13" t="n"/>
      <c r="C30" s="13" t="n"/>
      <c r="D30" s="13" t="n"/>
      <c r="E30" s="13" t="n"/>
      <c r="F30" s="13" t="n"/>
      <c r="G30" s="13" t="n"/>
      <c r="H30" s="13" t="n"/>
      <c r="I30" s="13" t="n"/>
      <c r="J30" s="13" t="n"/>
      <c r="K30" s="13" t="n"/>
      <c r="L30" s="13" t="n"/>
      <c r="M30" s="13" t="n"/>
      <c r="N30" s="13" t="n"/>
    </row>
    <row r="31">
      <c r="A31" s="14" t="inlineStr">
        <is>
          <t>Cloud changes must be controlled to prevent misconfigurations. Expect change approval, risk assessment, IaC governance, and configuration drift detection.</t>
        </is>
      </c>
      <c r="B31" s="15" t="n"/>
      <c r="C31" s="15" t="n"/>
      <c r="D31" s="15" t="n"/>
      <c r="E31" s="15" t="n"/>
      <c r="F31" s="15" t="n"/>
      <c r="G31" s="15" t="n"/>
      <c r="H31" s="15" t="n"/>
      <c r="I31" s="15" t="n"/>
      <c r="J31" s="15" t="n"/>
      <c r="K31" s="15" t="n"/>
      <c r="L31" s="15" t="n"/>
      <c r="M31" s="15" t="n"/>
      <c r="N31" s="15" t="n"/>
    </row>
    <row r="32">
      <c r="A32" s="16" t="inlineStr">
        <is>
          <t>App10-B4</t>
        </is>
      </c>
      <c r="B32" s="16" t="inlineStr">
        <is>
          <t>CLD-11</t>
        </is>
      </c>
      <c r="C32" s="16" t="inlineStr">
        <is>
          <t>PLATFORM</t>
        </is>
      </c>
      <c r="D32" s="16" t="inlineStr">
        <is>
          <t>Change Management</t>
        </is>
      </c>
      <c r="E32" s="16" t="inlineStr">
        <is>
          <t>Cloud change controls, IaC governance, and drift detection</t>
        </is>
      </c>
      <c r="F32" s="16" t="inlineStr"/>
      <c r="G32" s="16" t="inlineStr"/>
      <c r="H32" s="16" t="inlineStr"/>
      <c r="I32" s="16" t="inlineStr"/>
      <c r="J32" s="16" t="inlineStr"/>
      <c r="K32" s="16" t="inlineStr"/>
      <c r="L32" s="16" t="inlineStr"/>
      <c r="M32" s="17" t="inlineStr"/>
      <c r="N32" s="17" t="inlineStr"/>
    </row>
    <row r="33">
      <c r="A33" s="7" t="inlineStr">
        <is>
          <t>App10-B4(a)</t>
        </is>
      </c>
      <c r="B33" s="7" t="inlineStr">
        <is>
          <t>CLD-11.1</t>
        </is>
      </c>
      <c r="C33" s="7" t="inlineStr"/>
      <c r="D33" s="7" t="inlineStr"/>
      <c r="E33" s="7" t="inlineStr">
        <is>
          <t>Cloud change management procedure</t>
        </is>
      </c>
      <c r="F33" s="7" t="inlineStr">
        <is>
          <t>1. Review cloud change management procedure.
2. Sample 10 recent cloud changes.
3. Verify each has: request, risk assessment, approval, implementation, post-implementation review.
4. Check security-critical changes (IAM, network, encryption) have enhanced approval.</t>
        </is>
      </c>
      <c r="G33" s="7" t="inlineStr">
        <is>
          <t>Change management procedure; 10 sampled change records; Enhanced approval evidence</t>
        </is>
      </c>
      <c r="H33" s="7" t="inlineStr">
        <is>
          <t>Inspection</t>
        </is>
      </c>
      <c r="I33" s="7" t="inlineStr"/>
      <c r="J33" s="7" t="inlineStr"/>
      <c r="K33" s="7" t="inlineStr"/>
      <c r="L33" s="7" t="inlineStr"/>
      <c r="M33" s="7" t="inlineStr"/>
      <c r="N33" s="7" t="inlineStr"/>
    </row>
    <row r="34">
      <c r="A34" s="7" t="inlineStr">
        <is>
          <t>App10-B4(b)</t>
        </is>
      </c>
      <c r="B34" s="7" t="inlineStr">
        <is>
          <t>CLD-11.2</t>
        </is>
      </c>
      <c r="C34" s="7" t="inlineStr"/>
      <c r="D34" s="7" t="inlineStr"/>
      <c r="E34" s="7" t="inlineStr">
        <is>
          <t>Infrastructure as Code governance</t>
        </is>
      </c>
      <c r="F34" s="7" t="inlineStr">
        <is>
          <t>1. Review IaC governance (code review, version control, approval).
2. Check IaC templates scanned for misconfigurations.
3. Verify IaC state files stored securely.
4. Confirm IaC changes follow standard change process.</t>
        </is>
      </c>
      <c r="G34" s="7" t="inlineStr">
        <is>
          <t>IaC repository; IaC scanning tool; State file storage; Change process for IaC</t>
        </is>
      </c>
      <c r="H34" s="7" t="inlineStr">
        <is>
          <t>Inspection</t>
        </is>
      </c>
      <c r="I34" s="7" t="inlineStr"/>
      <c r="J34" s="7" t="inlineStr"/>
      <c r="K34" s="7" t="inlineStr"/>
      <c r="L34" s="7" t="inlineStr"/>
      <c r="M34" s="7" t="inlineStr"/>
      <c r="N34" s="7" t="inlineStr"/>
    </row>
    <row r="35">
      <c r="A35" s="7" t="inlineStr">
        <is>
          <t>App10-B4(c)</t>
        </is>
      </c>
      <c r="B35" s="7" t="inlineStr">
        <is>
          <t>CLD-11.3</t>
        </is>
      </c>
      <c r="C35" s="7" t="inlineStr"/>
      <c r="D35" s="7" t="inlineStr"/>
      <c r="E35" s="7" t="inlineStr">
        <is>
          <t>Configuration drift detection</t>
        </is>
      </c>
      <c r="F35" s="7" t="inlineStr">
        <is>
          <t>1. Verify configuration drift detection deployed.
2. Check drift alerts trigger remediation.
3. Confirm baseline configurations defined per resource type.
4. Verify emergency and rollback change procedures.</t>
        </is>
      </c>
      <c r="G35" s="7" t="inlineStr">
        <is>
          <t>Drift detection tool; Drift alert records; Baseline configs; Emergency change procedures</t>
        </is>
      </c>
      <c r="H35" s="7" t="inlineStr">
        <is>
          <t>Inspection</t>
        </is>
      </c>
      <c r="I35" s="7" t="inlineStr"/>
      <c r="J35" s="7" t="inlineStr"/>
      <c r="K35" s="7" t="inlineStr"/>
      <c r="L35" s="7" t="inlineStr"/>
      <c r="M35" s="7" t="inlineStr"/>
      <c r="N35" s="7" t="inlineStr"/>
    </row>
    <row r="36">
      <c r="A36" s="12" t="inlineStr">
        <is>
          <t>B5 — Backup and Recovery</t>
        </is>
      </c>
      <c r="B36" s="13" t="n"/>
      <c r="C36" s="13" t="n"/>
      <c r="D36" s="13" t="n"/>
      <c r="E36" s="13" t="n"/>
      <c r="F36" s="13" t="n"/>
      <c r="G36" s="13" t="n"/>
      <c r="H36" s="13" t="n"/>
      <c r="I36" s="13" t="n"/>
      <c r="J36" s="13" t="n"/>
      <c r="K36" s="13" t="n"/>
      <c r="L36" s="13" t="n"/>
      <c r="M36" s="13" t="n"/>
      <c r="N36" s="13" t="n"/>
    </row>
    <row r="37">
      <c r="A37" s="14" t="inlineStr">
        <is>
          <t>Cloud backup and recovery must be tested, not assumed. Expect defined backup policies, cross-region replication, tested restores, and defined RTO/RPO per workload. Cloud availability does not substitute for tested DR.</t>
        </is>
      </c>
      <c r="B37" s="15" t="n"/>
      <c r="C37" s="15" t="n"/>
      <c r="D37" s="15" t="n"/>
      <c r="E37" s="15" t="n"/>
      <c r="F37" s="15" t="n"/>
      <c r="G37" s="15" t="n"/>
      <c r="H37" s="15" t="n"/>
      <c r="I37" s="15" t="n"/>
      <c r="J37" s="15" t="n"/>
      <c r="K37" s="15" t="n"/>
      <c r="L37" s="15" t="n"/>
      <c r="M37" s="15" t="n"/>
      <c r="N37" s="15" t="n"/>
    </row>
    <row r="38">
      <c r="A38" s="16" t="inlineStr">
        <is>
          <t>App10-B5</t>
        </is>
      </c>
      <c r="B38" s="16" t="inlineStr">
        <is>
          <t>CLD-12</t>
        </is>
      </c>
      <c r="C38" s="16" t="inlineStr">
        <is>
          <t>WORKLOAD</t>
        </is>
      </c>
      <c r="D38" s="16" t="inlineStr">
        <is>
          <t>Backup and Recovery</t>
        </is>
      </c>
      <c r="E38" s="16" t="inlineStr">
        <is>
          <t>Backup strategy, cross-region replication, restore testing, and RTO/RPO validation</t>
        </is>
      </c>
      <c r="F38" s="16" t="inlineStr"/>
      <c r="G38" s="16" t="inlineStr"/>
      <c r="H38" s="16" t="inlineStr"/>
      <c r="I38" s="16" t="inlineStr"/>
      <c r="J38" s="16" t="inlineStr"/>
      <c r="K38" s="16" t="inlineStr"/>
      <c r="L38" s="16" t="inlineStr"/>
      <c r="M38" s="17" t="inlineStr"/>
      <c r="N38" s="17" t="inlineStr"/>
    </row>
    <row r="39">
      <c r="A39" s="7" t="inlineStr">
        <is>
          <t>App10-B5(a)(i)</t>
        </is>
      </c>
      <c r="B39" s="7" t="inlineStr">
        <is>
          <t>CLD-12.1</t>
        </is>
      </c>
      <c r="C39" s="7" t="inlineStr"/>
      <c r="D39" s="7" t="inlineStr"/>
      <c r="E39" s="7" t="inlineStr">
        <is>
          <t>Backup policy and schedule</t>
        </is>
      </c>
      <c r="F39" s="7" t="inlineStr">
        <is>
          <t>1. Obtain cloud backup policy.
2. Verify backup schedule covers all critical data stores.
3. Check backup frequency aligned with RPO requirements.
4. Confirm backup policy covers all cloud services (databases, object storage, file systems).</t>
        </is>
      </c>
      <c r="G39" s="7" t="inlineStr">
        <is>
          <t>Cloud backup policy; Backup schedule; RPO alignment evidence; Service coverage</t>
        </is>
      </c>
      <c r="H39" s="7" t="inlineStr">
        <is>
          <t>Inspection</t>
        </is>
      </c>
      <c r="I39" s="7" t="inlineStr"/>
      <c r="J39" s="7" t="inlineStr"/>
      <c r="K39" s="7" t="inlineStr"/>
      <c r="L39" s="7" t="inlineStr"/>
      <c r="M39" s="7" t="inlineStr"/>
      <c r="N39" s="7" t="inlineStr"/>
    </row>
    <row r="40">
      <c r="A40" s="7" t="inlineStr">
        <is>
          <t>App10-B5(a)(ii)</t>
        </is>
      </c>
      <c r="B40" s="7" t="inlineStr">
        <is>
          <t>CLD-12.2</t>
        </is>
      </c>
      <c r="C40" s="7" t="inlineStr"/>
      <c r="D40" s="7" t="inlineStr"/>
      <c r="E40" s="7" t="inlineStr">
        <is>
          <t>Backup encryption and access controls</t>
        </is>
      </c>
      <c r="F40" s="7" t="inlineStr">
        <is>
          <t>1. Verify backups encrypted at rest.
2. Check backup access restricted to authorised personnel.
3. Confirm backup key management follows organisational standards.
4. Verify backup immutability (write-once) for critical data.</t>
        </is>
      </c>
      <c r="G40" s="7" t="inlineStr">
        <is>
          <t>Backup encryption config; Access controls; Key management; Immutability config</t>
        </is>
      </c>
      <c r="H40" s="7" t="inlineStr">
        <is>
          <t>Inspection</t>
        </is>
      </c>
      <c r="I40" s="7" t="inlineStr"/>
      <c r="J40" s="7" t="inlineStr"/>
      <c r="K40" s="7" t="inlineStr"/>
      <c r="L40" s="7" t="inlineStr"/>
      <c r="M40" s="7" t="inlineStr"/>
      <c r="N40" s="7" t="inlineStr"/>
    </row>
    <row r="41">
      <c r="A41" s="7" t="inlineStr">
        <is>
          <t>App10-B5(a)(iii)</t>
        </is>
      </c>
      <c r="B41" s="7" t="inlineStr">
        <is>
          <t>CLD-12.3</t>
        </is>
      </c>
      <c r="C41" s="7" t="inlineStr"/>
      <c r="D41" s="7" t="inlineStr"/>
      <c r="E41" s="7" t="inlineStr">
        <is>
          <t>Cross-region backup replication</t>
        </is>
      </c>
      <c r="F41" s="7" t="inlineStr">
        <is>
          <t>1. Verify cross-region replication for critical backups.
2. Check replication targets comply with data residency requirements.
3. Confirm replication lag monitored.
4. Verify data integrity of replicated backups.</t>
        </is>
      </c>
      <c r="G41" s="7" t="inlineStr">
        <is>
          <t>Replication config; Data residency compliance; Replication monitoring; Integrity checks</t>
        </is>
      </c>
      <c r="H41" s="7" t="inlineStr">
        <is>
          <t>Inspection</t>
        </is>
      </c>
      <c r="I41" s="7" t="inlineStr"/>
      <c r="J41" s="7" t="inlineStr"/>
      <c r="K41" s="7" t="inlineStr"/>
      <c r="L41" s="7" t="inlineStr"/>
      <c r="M41" s="7" t="inlineStr"/>
      <c r="N41" s="7" t="inlineStr"/>
    </row>
    <row r="42">
      <c r="A42" s="7" t="inlineStr">
        <is>
          <t>App10-B5(b)</t>
        </is>
      </c>
      <c r="B42" s="7" t="inlineStr">
        <is>
          <t>CLD-12.4</t>
        </is>
      </c>
      <c r="C42" s="7" t="inlineStr"/>
      <c r="D42" s="7" t="inlineStr"/>
      <c r="E42" s="7" t="inlineStr">
        <is>
          <t>Backup monitoring</t>
        </is>
      </c>
      <c r="F42" s="7" t="inlineStr">
        <is>
          <t>1. Verify backup job monitoring in place.
2. Check failed backups trigger alerts.
3. Confirm backup success rates tracked.
4. Verify backup capacity planning.</t>
        </is>
      </c>
      <c r="G42" s="7" t="inlineStr">
        <is>
          <t>Backup monitoring config; Alert records; Success rate reports; Capacity planning</t>
        </is>
      </c>
      <c r="H42" s="7" t="inlineStr">
        <is>
          <t>Inspection</t>
        </is>
      </c>
      <c r="I42" s="7" t="inlineStr"/>
      <c r="J42" s="7" t="inlineStr"/>
      <c r="K42" s="7" t="inlineStr"/>
      <c r="L42" s="7" t="inlineStr"/>
      <c r="M42" s="7" t="inlineStr"/>
      <c r="N42" s="7" t="inlineStr"/>
    </row>
    <row r="43">
      <c r="A43" s="7" t="inlineStr">
        <is>
          <t>App10-B5(c)(i)</t>
        </is>
      </c>
      <c r="B43" s="7" t="inlineStr">
        <is>
          <t>CLD-12.5</t>
        </is>
      </c>
      <c r="C43" s="7" t="inlineStr"/>
      <c r="D43" s="7" t="inlineStr"/>
      <c r="E43" s="7" t="inlineStr">
        <is>
          <t>Restore testing</t>
        </is>
      </c>
      <c r="F43" s="7" t="inlineStr">
        <is>
          <t>1. Verify restore testing conducted at least annually.
2. Check restore tests cover representative workloads.
3. Confirm restore completed within RTO.
4. Verify data integrity validated after restore.</t>
        </is>
      </c>
      <c r="G43" s="7" t="inlineStr">
        <is>
          <t>Restore test plan; Test results; RTO achievement; Data integrity validation</t>
        </is>
      </c>
      <c r="H43" s="7" t="inlineStr">
        <is>
          <t>Inspection</t>
        </is>
      </c>
      <c r="I43" s="7" t="inlineStr"/>
      <c r="J43" s="7" t="inlineStr"/>
      <c r="K43" s="7" t="inlineStr"/>
      <c r="L43" s="7" t="inlineStr"/>
      <c r="M43" s="7" t="inlineStr"/>
      <c r="N43" s="7" t="inlineStr"/>
    </row>
    <row r="44">
      <c r="A44" s="7" t="inlineStr">
        <is>
          <t>App10-B5(c)(ii)</t>
        </is>
      </c>
      <c r="B44" s="7" t="inlineStr">
        <is>
          <t>CLD-12.6</t>
        </is>
      </c>
      <c r="C44" s="7" t="inlineStr"/>
      <c r="D44" s="7" t="inlineStr"/>
      <c r="E44" s="7" t="inlineStr">
        <is>
          <t>DR failover testing</t>
        </is>
      </c>
      <c r="F44" s="7" t="inlineStr">
        <is>
          <t>1. Verify cloud DR/failover tested (cross-region or cross-AZ).
2. Check failover tests simulate realistic failure scenarios.
3. Confirm failover completed within defined timeframes.
4. Verify test findings remediated.</t>
        </is>
      </c>
      <c r="G44" s="7" t="inlineStr">
        <is>
          <t>DR failover test plan; Test results; Failover timelines; Remediation records</t>
        </is>
      </c>
      <c r="H44" s="7" t="inlineStr">
        <is>
          <t>Inspection</t>
        </is>
      </c>
      <c r="I44" s="7" t="inlineStr"/>
      <c r="J44" s="7" t="inlineStr"/>
      <c r="K44" s="7" t="inlineStr"/>
      <c r="L44" s="7" t="inlineStr"/>
      <c r="M44" s="7" t="inlineStr"/>
      <c r="N44" s="7" t="inlineStr"/>
    </row>
    <row r="45">
      <c r="A45" s="7" t="inlineStr">
        <is>
          <t>App10-B5(d)</t>
        </is>
      </c>
      <c r="B45" s="7" t="inlineStr">
        <is>
          <t>CLD-12.7</t>
        </is>
      </c>
      <c r="C45" s="7" t="inlineStr"/>
      <c r="D45" s="7" t="inlineStr"/>
      <c r="E45" s="7" t="inlineStr">
        <is>
          <t>RTO/RPO definitions and validation</t>
        </is>
      </c>
      <c r="F45" s="7" t="inlineStr">
        <is>
          <t>1. Verify RTO/RPO defined per critical cloud workload.
2. Check RTO/RPO approved by business owners.
3. Confirm RTO/RPO validated through testing.
4. Verify CSP capabilities support defined RTO/RPO.</t>
        </is>
      </c>
      <c r="G45" s="7" t="inlineStr">
        <is>
          <t>RTO/RPO definitions; Business owner approval; Validation test results; CSP capability assessment</t>
        </is>
      </c>
      <c r="H45" s="7" t="inlineStr">
        <is>
          <t>Inspection</t>
        </is>
      </c>
      <c r="I45" s="7" t="inlineStr"/>
      <c r="J45" s="7" t="inlineStr"/>
      <c r="K45" s="7" t="inlineStr"/>
      <c r="L45" s="7" t="inlineStr"/>
      <c r="M45" s="7" t="inlineStr"/>
      <c r="N45" s="7" t="inlineStr"/>
    </row>
    <row r="46">
      <c r="A46" s="7" t="inlineStr"/>
      <c r="B46" s="7" t="inlineStr">
        <is>
          <t>CLD-12.8</t>
        </is>
      </c>
      <c r="C46" s="7" t="inlineStr"/>
      <c r="D46" s="7" t="inlineStr"/>
      <c r="E46" s="7" t="inlineStr">
        <is>
          <t>CSP outage response procedures</t>
        </is>
      </c>
      <c r="F46" s="7" t="inlineStr">
        <is>
          <t>1. Verify CSP outage response procedures documented.
2. Check procedures cover communication, escalation, and workaround.
3. Confirm lessons learned from past CSP outages reviewed.
4. Verify integration with overall incident management.</t>
        </is>
      </c>
      <c r="G46" s="7" t="inlineStr">
        <is>
          <t>CSP outage procedures; Communication plan; Lessons learned; Incident management integration</t>
        </is>
      </c>
      <c r="H46" s="7" t="inlineStr">
        <is>
          <t>Inspection</t>
        </is>
      </c>
      <c r="I46" s="7" t="inlineStr"/>
      <c r="J46" s="7" t="inlineStr"/>
      <c r="K46" s="7" t="inlineStr"/>
      <c r="L46" s="7" t="inlineStr"/>
      <c r="M46" s="7" t="inlineStr"/>
      <c r="N46" s="7" t="inlineStr"/>
    </row>
    <row r="47">
      <c r="A47" s="12" t="inlineStr">
        <is>
          <t>B6 — Interoperability/Portability</t>
        </is>
      </c>
      <c r="B47" s="13" t="n"/>
      <c r="C47" s="13" t="n"/>
      <c r="D47" s="13" t="n"/>
      <c r="E47" s="13" t="n"/>
      <c r="F47" s="13" t="n"/>
      <c r="G47" s="13" t="n"/>
      <c r="H47" s="13" t="n"/>
      <c r="I47" s="13" t="n"/>
      <c r="J47" s="13" t="n"/>
      <c r="K47" s="13" t="n"/>
      <c r="L47" s="13" t="n"/>
      <c r="M47" s="13" t="n"/>
      <c r="N47" s="13" t="n"/>
    </row>
    <row r="48">
      <c r="A48" s="14" t="inlineStr">
        <is>
          <t>Data and workload portability reduce vendor lock-in risk. Expect data export capabilities, standard formats, API compatibility assessment. Without portability, the FI is captive to the CSP.</t>
        </is>
      </c>
      <c r="B48" s="15" t="n"/>
      <c r="C48" s="15" t="n"/>
      <c r="D48" s="15" t="n"/>
      <c r="E48" s="15" t="n"/>
      <c r="F48" s="15" t="n"/>
      <c r="G48" s="15" t="n"/>
      <c r="H48" s="15" t="n"/>
      <c r="I48" s="15" t="n"/>
      <c r="J48" s="15" t="n"/>
      <c r="K48" s="15" t="n"/>
      <c r="L48" s="15" t="n"/>
      <c r="M48" s="15" t="n"/>
      <c r="N48" s="15" t="n"/>
    </row>
    <row r="49">
      <c r="A49" s="16" t="inlineStr">
        <is>
          <t>App10-B6</t>
        </is>
      </c>
      <c r="B49" s="16" t="inlineStr">
        <is>
          <t>CLD-13</t>
        </is>
      </c>
      <c r="C49" s="16" t="inlineStr">
        <is>
          <t>PLATFORM</t>
        </is>
      </c>
      <c r="D49" s="16" t="inlineStr">
        <is>
          <t>Interoperability/Portability</t>
        </is>
      </c>
      <c r="E49" s="16" t="inlineStr">
        <is>
          <t>Data portability, standard formats, and vendor lock-in mitigation</t>
        </is>
      </c>
      <c r="F49" s="16" t="inlineStr"/>
      <c r="G49" s="16" t="inlineStr"/>
      <c r="H49" s="16" t="inlineStr"/>
      <c r="I49" s="16" t="inlineStr"/>
      <c r="J49" s="16" t="inlineStr"/>
      <c r="K49" s="16" t="inlineStr"/>
      <c r="L49" s="16" t="inlineStr"/>
      <c r="M49" s="17" t="inlineStr"/>
      <c r="N49" s="17" t="inlineStr"/>
    </row>
    <row r="50">
      <c r="A50" s="7" t="inlineStr">
        <is>
          <t>App10-B6(a)</t>
        </is>
      </c>
      <c r="B50" s="7" t="inlineStr">
        <is>
          <t>CLD-13.1</t>
        </is>
      </c>
      <c r="C50" s="7" t="inlineStr"/>
      <c r="D50" s="7" t="inlineStr"/>
      <c r="E50" s="7" t="inlineStr">
        <is>
          <t>Data portability assessment</t>
        </is>
      </c>
      <c r="F50" s="7" t="inlineStr">
        <is>
          <t>1. Verify data portability assessed for each critical CSP service.
2. Check data can be exported in standard, open formats.
3. Confirm export mechanisms tested.
4. Verify data completeness and integrity after export.</t>
        </is>
      </c>
      <c r="G50" s="7" t="inlineStr">
        <is>
          <t>Data portability assessment; Export format documentation; Export test results; Integrity verification</t>
        </is>
      </c>
      <c r="H50" s="7" t="inlineStr">
        <is>
          <t>Inspection</t>
        </is>
      </c>
      <c r="I50" s="7" t="inlineStr"/>
      <c r="J50" s="7" t="inlineStr"/>
      <c r="K50" s="7" t="inlineStr"/>
      <c r="L50" s="7" t="inlineStr"/>
      <c r="M50" s="7" t="inlineStr"/>
      <c r="N50" s="7" t="inlineStr"/>
    </row>
    <row r="51">
      <c r="A51" s="7" t="inlineStr">
        <is>
          <t>App10-B6(b)</t>
        </is>
      </c>
      <c r="B51" s="7" t="inlineStr">
        <is>
          <t>CLD-13.2</t>
        </is>
      </c>
      <c r="C51" s="7" t="inlineStr"/>
      <c r="D51" s="7" t="inlineStr"/>
      <c r="E51" s="7" t="inlineStr">
        <is>
          <t>Application portability</t>
        </is>
      </c>
      <c r="F51" s="7" t="inlineStr">
        <is>
          <t>1. Assess application dependencies on CSP-specific services.
2. Verify abstraction layers used where feasible.
3. Check containerisation and standardised APIs reduce lock-in.
4. Confirm portability considerations in architecture decisions.</t>
        </is>
      </c>
      <c r="G51" s="7" t="inlineStr">
        <is>
          <t>CSP dependency analysis; Abstraction layer documentation; Architecture decision records</t>
        </is>
      </c>
      <c r="H51" s="7" t="inlineStr">
        <is>
          <t>Inspection</t>
        </is>
      </c>
      <c r="I51" s="7" t="inlineStr"/>
      <c r="J51" s="7" t="inlineStr"/>
      <c r="K51" s="7" t="inlineStr"/>
      <c r="L51" s="7" t="inlineStr"/>
      <c r="M51" s="7" t="inlineStr"/>
      <c r="N51" s="7" t="inlineStr"/>
    </row>
    <row r="52">
      <c r="A52" s="7" t="inlineStr">
        <is>
          <t>App10-B6(c)</t>
        </is>
      </c>
      <c r="B52" s="7" t="inlineStr">
        <is>
          <t>CLD-13.3</t>
        </is>
      </c>
      <c r="C52" s="7" t="inlineStr"/>
      <c r="D52" s="7" t="inlineStr"/>
      <c r="E52" s="7" t="inlineStr">
        <is>
          <t>Multi-cloud or hybrid capability</t>
        </is>
      </c>
      <c r="F52" s="7" t="inlineStr">
        <is>
          <t>1. Verify multi-cloud or hybrid deployment capability where appropriate.
2. Check interoperability between cloud environments.
3. Confirm management tooling supports multi-environment.
4. Verify network connectivity between environments.</t>
        </is>
      </c>
      <c r="G52" s="7" t="inlineStr">
        <is>
          <t>Multi-cloud architecture; Interoperability evidence; Management tooling; Network connectivity</t>
        </is>
      </c>
      <c r="H52" s="7" t="inlineStr">
        <is>
          <t>Inspection</t>
        </is>
      </c>
      <c r="I52" s="7" t="inlineStr"/>
      <c r="J52" s="7" t="inlineStr"/>
      <c r="K52" s="7" t="inlineStr"/>
      <c r="L52" s="7" t="inlineStr"/>
      <c r="M52" s="7" t="inlineStr"/>
      <c r="N52" s="7" t="inlineStr"/>
    </row>
    <row r="53">
      <c r="A53" s="7" t="inlineStr">
        <is>
          <t>App10-B6(d)</t>
        </is>
      </c>
      <c r="B53" s="7" t="inlineStr">
        <is>
          <t>CLD-13.4</t>
        </is>
      </c>
      <c r="C53" s="7" t="inlineStr"/>
      <c r="D53" s="7" t="inlineStr"/>
      <c r="E53" s="7" t="inlineStr">
        <is>
          <t>API compatibility and standardisation</t>
        </is>
      </c>
      <c r="F53" s="7" t="inlineStr">
        <is>
          <t>1. Verify APIs follow industry standards (REST, OpenAPI).
2. Check API versioning strategy.
3. Confirm API documentation maintained.
4. Verify API-level portability assessed.</t>
        </is>
      </c>
      <c r="G53" s="7" t="inlineStr">
        <is>
          <t>API standards; Versioning strategy; API documentation; Portability assessment</t>
        </is>
      </c>
      <c r="H53" s="7" t="inlineStr">
        <is>
          <t>Inspection</t>
        </is>
      </c>
      <c r="I53" s="7" t="inlineStr"/>
      <c r="J53" s="7" t="inlineStr"/>
      <c r="K53" s="7" t="inlineStr"/>
      <c r="L53" s="7" t="inlineStr"/>
      <c r="M53" s="7" t="inlineStr"/>
      <c r="N53" s="7" t="inlineStr"/>
    </row>
    <row r="54">
      <c r="A54" s="7" t="inlineStr">
        <is>
          <t>App10-B6(e)</t>
        </is>
      </c>
      <c r="B54" s="7" t="inlineStr">
        <is>
          <t>CLD-13.5</t>
        </is>
      </c>
      <c r="C54" s="7" t="inlineStr"/>
      <c r="D54" s="7" t="inlineStr"/>
      <c r="E54" s="7" t="inlineStr">
        <is>
          <t>Vendor lock-in risk assessment</t>
        </is>
      </c>
      <c r="F54" s="7" t="inlineStr">
        <is>
          <t>1. Verify vendor lock-in risk formally assessed.
2. Check lock-in mitigation strategies documented.
3. Confirm risk accepted at appropriate level.
4. Verify periodic reassessment.</t>
        </is>
      </c>
      <c r="G54" s="7" t="inlineStr">
        <is>
          <t>Lock-in risk assessment; Mitigation strategies; Risk acceptance records; Reassessment schedule</t>
        </is>
      </c>
      <c r="H54" s="7" t="inlineStr">
        <is>
          <t>Inspection</t>
        </is>
      </c>
      <c r="I54" s="7" t="inlineStr"/>
      <c r="J54" s="7" t="inlineStr"/>
      <c r="K54" s="7" t="inlineStr"/>
      <c r="L54" s="7" t="inlineStr"/>
      <c r="M54" s="7" t="inlineStr"/>
      <c r="N54" s="7" t="inlineStr"/>
    </row>
    <row r="55">
      <c r="A55" s="12" t="inlineStr">
        <is>
          <t>B7 — Exit Strategy</t>
        </is>
      </c>
      <c r="B55" s="13" t="n"/>
      <c r="C55" s="13" t="n"/>
      <c r="D55" s="13" t="n"/>
      <c r="E55" s="13" t="n"/>
      <c r="F55" s="13" t="n"/>
      <c r="G55" s="13" t="n"/>
      <c r="H55" s="13" t="n"/>
      <c r="I55" s="13" t="n"/>
      <c r="J55" s="13" t="n"/>
      <c r="K55" s="13" t="n"/>
      <c r="L55" s="13" t="n"/>
      <c r="M55" s="13" t="n"/>
      <c r="N55" s="13" t="n"/>
    </row>
    <row r="56">
      <c r="A56" s="14" t="inlineStr">
        <is>
          <t>BNM requires a documented and tested exit strategy. Expect trigger events, data retrieval procedures, migration approach, timeline, and cost estimates. Without exit planning, the FI cannot leave a CSP.</t>
        </is>
      </c>
      <c r="B56" s="15" t="n"/>
      <c r="C56" s="15" t="n"/>
      <c r="D56" s="15" t="n"/>
      <c r="E56" s="15" t="n"/>
      <c r="F56" s="15" t="n"/>
      <c r="G56" s="15" t="n"/>
      <c r="H56" s="15" t="n"/>
      <c r="I56" s="15" t="n"/>
      <c r="J56" s="15" t="n"/>
      <c r="K56" s="15" t="n"/>
      <c r="L56" s="15" t="n"/>
      <c r="M56" s="15" t="n"/>
      <c r="N56" s="15" t="n"/>
    </row>
    <row r="57">
      <c r="A57" s="16" t="inlineStr">
        <is>
          <t>App10-B7</t>
        </is>
      </c>
      <c r="B57" s="16" t="inlineStr">
        <is>
          <t>CLD-14</t>
        </is>
      </c>
      <c r="C57" s="16" t="inlineStr">
        <is>
          <t>PLATFORM</t>
        </is>
      </c>
      <c r="D57" s="16" t="inlineStr">
        <is>
          <t>Exit Strategy</t>
        </is>
      </c>
      <c r="E57" s="16" t="inlineStr">
        <is>
          <t>Exit planning, trigger events, data retrieval, migration approach, and cost estimates</t>
        </is>
      </c>
      <c r="F57" s="16" t="inlineStr"/>
      <c r="G57" s="16" t="inlineStr"/>
      <c r="H57" s="16" t="inlineStr"/>
      <c r="I57" s="16" t="inlineStr"/>
      <c r="J57" s="16" t="inlineStr"/>
      <c r="K57" s="16" t="inlineStr"/>
      <c r="L57" s="16" t="inlineStr"/>
      <c r="M57" s="17" t="inlineStr"/>
      <c r="N57" s="17" t="inlineStr"/>
    </row>
    <row r="58">
      <c r="A58" s="7" t="inlineStr">
        <is>
          <t>App10-B7(a)(i)</t>
        </is>
      </c>
      <c r="B58" s="7" t="inlineStr">
        <is>
          <t>CLD-14.1</t>
        </is>
      </c>
      <c r="C58" s="7" t="inlineStr"/>
      <c r="D58" s="7" t="inlineStr"/>
      <c r="E58" s="7" t="inlineStr">
        <is>
          <t>Exit strategy — trigger events</t>
        </is>
      </c>
      <c r="F58" s="7" t="inlineStr">
        <is>
          <t>1. Obtain exit strategy for each critical CSP engagement.
2. Verify trigger events defined (CSP failure, contract expiry, regulatory direction, strategic change).
3. Check triggers actively monitored.</t>
        </is>
      </c>
      <c r="G58" s="7" t="inlineStr">
        <is>
          <t>Exit strategy document; Trigger event definitions; Monitoring evidence</t>
        </is>
      </c>
      <c r="H58" s="7" t="inlineStr">
        <is>
          <t>Inspection</t>
        </is>
      </c>
      <c r="I58" s="7" t="inlineStr"/>
      <c r="J58" s="7" t="inlineStr"/>
      <c r="K58" s="7" t="inlineStr"/>
      <c r="L58" s="7" t="inlineStr"/>
      <c r="M58" s="7" t="inlineStr"/>
      <c r="N58" s="7" t="inlineStr"/>
    </row>
    <row r="59">
      <c r="A59" s="7" t="inlineStr">
        <is>
          <t>App10-B7(a)(ii)</t>
        </is>
      </c>
      <c r="B59" s="7" t="inlineStr">
        <is>
          <t>CLD-14.2</t>
        </is>
      </c>
      <c r="C59" s="7" t="inlineStr"/>
      <c r="D59" s="7" t="inlineStr"/>
      <c r="E59" s="7" t="inlineStr">
        <is>
          <t>Exit strategy — data retrieval</t>
        </is>
      </c>
      <c r="F59" s="7" t="inlineStr">
        <is>
          <t>1. Verify data retrieval procedures documented.
2. Check data export formats are standard and tested.
3. Confirm data completeness verification procedure.
4. Verify data deletion from CSP post-exit.</t>
        </is>
      </c>
      <c r="G59" s="7" t="inlineStr">
        <is>
          <t>Data retrieval procedures; Export format docs; Completeness verification; Deletion procedures</t>
        </is>
      </c>
      <c r="H59" s="7" t="inlineStr">
        <is>
          <t>Inspection</t>
        </is>
      </c>
      <c r="I59" s="7" t="inlineStr"/>
      <c r="J59" s="7" t="inlineStr"/>
      <c r="K59" s="7" t="inlineStr"/>
      <c r="L59" s="7" t="inlineStr"/>
      <c r="M59" s="7" t="inlineStr"/>
      <c r="N59" s="7" t="inlineStr"/>
    </row>
    <row r="60">
      <c r="A60" s="7" t="inlineStr">
        <is>
          <t>App10-B7(a)(iii)</t>
        </is>
      </c>
      <c r="B60" s="7" t="inlineStr">
        <is>
          <t>CLD-14.3</t>
        </is>
      </c>
      <c r="C60" s="7" t="inlineStr"/>
      <c r="D60" s="7" t="inlineStr"/>
      <c r="E60" s="7" t="inlineStr">
        <is>
          <t>Exit strategy — migration approach</t>
        </is>
      </c>
      <c r="F60" s="7" t="inlineStr">
        <is>
          <t>1. Verify migration approach documented (lift-and-shift, re-platform, re-architect).
2. Check resource and skill requirements identified.
3. Confirm timeline is realistic.
4. Verify dependencies identified.</t>
        </is>
      </c>
      <c r="G60" s="7" t="inlineStr">
        <is>
          <t>Migration approach document; Resource plan; Timeline; Dependency analysis</t>
        </is>
      </c>
      <c r="H60" s="7" t="inlineStr">
        <is>
          <t>Inspection</t>
        </is>
      </c>
      <c r="I60" s="7" t="inlineStr"/>
      <c r="J60" s="7" t="inlineStr"/>
      <c r="K60" s="7" t="inlineStr"/>
      <c r="L60" s="7" t="inlineStr"/>
      <c r="M60" s="7" t="inlineStr"/>
      <c r="N60" s="7" t="inlineStr"/>
    </row>
    <row r="61">
      <c r="A61" s="7" t="inlineStr">
        <is>
          <t>App10-B7(a)(iv)</t>
        </is>
      </c>
      <c r="B61" s="7" t="inlineStr">
        <is>
          <t>CLD-14.4</t>
        </is>
      </c>
      <c r="C61" s="7" t="inlineStr"/>
      <c r="D61" s="7" t="inlineStr"/>
      <c r="E61" s="7" t="inlineStr">
        <is>
          <t>Exit strategy — communication plan</t>
        </is>
      </c>
      <c r="F61" s="7" t="inlineStr">
        <is>
          <t>1. Verify communication plan for exit scenario.
2. Check stakeholder notification procedures.
3. Confirm regulatory notification requirements addressed.
4. Verify customer impact assessment.</t>
        </is>
      </c>
      <c r="G61" s="7" t="inlineStr">
        <is>
          <t>Communication plan; Stakeholder notification; Regulatory notification; Customer impact assessment</t>
        </is>
      </c>
      <c r="H61" s="7" t="inlineStr">
        <is>
          <t>Inspection</t>
        </is>
      </c>
      <c r="I61" s="7" t="inlineStr"/>
      <c r="J61" s="7" t="inlineStr"/>
      <c r="K61" s="7" t="inlineStr"/>
      <c r="L61" s="7" t="inlineStr"/>
      <c r="M61" s="7" t="inlineStr"/>
      <c r="N61" s="7" t="inlineStr"/>
    </row>
    <row r="62">
      <c r="A62" s="7" t="inlineStr">
        <is>
          <t>App10-B7(b)(i)</t>
        </is>
      </c>
      <c r="B62" s="7" t="inlineStr">
        <is>
          <t>CLD-14.5</t>
        </is>
      </c>
      <c r="C62" s="7" t="inlineStr"/>
      <c r="D62" s="7" t="inlineStr"/>
      <c r="E62" s="7" t="inlineStr">
        <is>
          <t>Contractual exit provisions — transition period</t>
        </is>
      </c>
      <c r="F62" s="7" t="inlineStr">
        <is>
          <t>1. Verify contract provides for adequate transition period.
2. Check CSP cooperation obligations during exit.
3. Confirm service continuity during transition.
4. Verify transition support fees understood.</t>
        </is>
      </c>
      <c r="G62" s="7" t="inlineStr">
        <is>
          <t>Contract exit clauses; Transition period provisions; Service continuity terms; Fee schedule</t>
        </is>
      </c>
      <c r="H62" s="7" t="inlineStr">
        <is>
          <t>Inspection</t>
        </is>
      </c>
      <c r="I62" s="7" t="inlineStr"/>
      <c r="J62" s="7" t="inlineStr"/>
      <c r="K62" s="7" t="inlineStr"/>
      <c r="L62" s="7" t="inlineStr"/>
      <c r="M62" s="7" t="inlineStr"/>
      <c r="N62" s="7" t="inlineStr"/>
    </row>
    <row r="63">
      <c r="A63" s="7" t="inlineStr">
        <is>
          <t>App10-B7(b)(ii)</t>
        </is>
      </c>
      <c r="B63" s="7" t="inlineStr">
        <is>
          <t>CLD-14.6</t>
        </is>
      </c>
      <c r="C63" s="7" t="inlineStr"/>
      <c r="D63" s="7" t="inlineStr"/>
      <c r="E63" s="7" t="inlineStr">
        <is>
          <t>Contractual exit provisions — data return</t>
        </is>
      </c>
      <c r="F63" s="7" t="inlineStr">
        <is>
          <t>1. Verify contractual right to data return in usable format.
2. Check data destruction obligations on CSP post-return.
3. Confirm destruction certification from CSP.
4. Verify timeline for data return.</t>
        </is>
      </c>
      <c r="G63" s="7" t="inlineStr">
        <is>
          <t>Data return contract terms; Destruction obligations; Destruction certification template; Return timeline</t>
        </is>
      </c>
      <c r="H63" s="7" t="inlineStr">
        <is>
          <t>Inspection</t>
        </is>
      </c>
      <c r="I63" s="7" t="inlineStr"/>
      <c r="J63" s="7" t="inlineStr"/>
      <c r="K63" s="7" t="inlineStr"/>
      <c r="L63" s="7" t="inlineStr"/>
      <c r="M63" s="7" t="inlineStr"/>
      <c r="N63" s="7" t="inlineStr"/>
    </row>
    <row r="64">
      <c r="A64" s="7" t="inlineStr">
        <is>
          <t>App10-B7(b)(iii)</t>
        </is>
      </c>
      <c r="B64" s="7" t="inlineStr">
        <is>
          <t>CLD-14.7</t>
        </is>
      </c>
      <c r="C64" s="7" t="inlineStr"/>
      <c r="D64" s="7" t="inlineStr"/>
      <c r="E64" s="7" t="inlineStr">
        <is>
          <t>Exit strategy review and testing</t>
        </is>
      </c>
      <c r="F64" s="7" t="inlineStr">
        <is>
          <t>1. Verify exit strategy reviewed within 12 months.
2. Check exit feasibility assessed.
3. Confirm migration feasibility tested or simulated.
4. Review cost estimates for exit scenarios.</t>
        </is>
      </c>
      <c r="G64" s="7" t="inlineStr">
        <is>
          <t>Exit strategy review records; Feasibility assessment; Migration test/simulation; Cost estimates</t>
        </is>
      </c>
      <c r="H64" s="7" t="inlineStr">
        <is>
          <t>Inspection</t>
        </is>
      </c>
      <c r="I64" s="7" t="inlineStr"/>
      <c r="J64" s="7" t="inlineStr"/>
      <c r="K64" s="7" t="inlineStr"/>
      <c r="L64" s="7" t="inlineStr"/>
      <c r="M64" s="7" t="inlineStr"/>
      <c r="N64" s="7" t="inlineStr"/>
    </row>
    <row r="65">
      <c r="A65" s="7" t="inlineStr">
        <is>
          <t>App10-B7(b)(iv)</t>
        </is>
      </c>
      <c r="B65" s="7" t="inlineStr">
        <is>
          <t>CLD-14.8</t>
        </is>
      </c>
      <c r="C65" s="7" t="inlineStr"/>
      <c r="D65" s="7" t="inlineStr"/>
      <c r="E65" s="7" t="inlineStr">
        <is>
          <t>Alternative provider identification</t>
        </is>
      </c>
      <c r="F65" s="7" t="inlineStr">
        <is>
          <t>1. Verify alternative CSPs identified for critical services.
2. Check compatibility assessment with alternative providers.
3. Confirm alternative providers can meet regulatory requirements.
4. Verify transition effort estimated.</t>
        </is>
      </c>
      <c r="G65" s="7" t="inlineStr">
        <is>
          <t>Alternative provider analysis; Compatibility assessment; Regulatory compliance check; Transition estimates</t>
        </is>
      </c>
      <c r="H65" s="7" t="inlineStr">
        <is>
          <t>Inspection</t>
        </is>
      </c>
      <c r="I65" s="7" t="inlineStr"/>
      <c r="J65" s="7" t="inlineStr"/>
      <c r="K65" s="7" t="inlineStr"/>
      <c r="L65" s="7" t="inlineStr"/>
      <c r="M65" s="7" t="inlineStr"/>
      <c r="N65" s="7" t="inlineStr"/>
    </row>
    <row r="66">
      <c r="A66" s="12" t="inlineStr">
        <is>
          <t>B8 — Cryptographic Key Management</t>
        </is>
      </c>
      <c r="B66" s="13" t="n"/>
      <c r="C66" s="13" t="n"/>
      <c r="D66" s="13" t="n"/>
      <c r="E66" s="13" t="n"/>
      <c r="F66" s="13" t="n"/>
      <c r="G66" s="13" t="n"/>
      <c r="H66" s="13" t="n"/>
      <c r="I66" s="13" t="n"/>
      <c r="J66" s="13" t="n"/>
      <c r="K66" s="13" t="n"/>
      <c r="L66" s="13" t="n"/>
      <c r="M66" s="13" t="n"/>
      <c r="N66" s="13" t="n"/>
    </row>
    <row r="67">
      <c r="A67" s="14" t="inlineStr">
        <is>
          <t>Key management determines who can access encrypted data. Expect key ownership strategy, rotation, HSM usage, and key lifecycle management. Weak key management renders encryption ineffective.</t>
        </is>
      </c>
      <c r="B67" s="15" t="n"/>
      <c r="C67" s="15" t="n"/>
      <c r="D67" s="15" t="n"/>
      <c r="E67" s="15" t="n"/>
      <c r="F67" s="15" t="n"/>
      <c r="G67" s="15" t="n"/>
      <c r="H67" s="15" t="n"/>
      <c r="I67" s="15" t="n"/>
      <c r="J67" s="15" t="n"/>
      <c r="K67" s="15" t="n"/>
      <c r="L67" s="15" t="n"/>
      <c r="M67" s="15" t="n"/>
      <c r="N67" s="15" t="n"/>
    </row>
    <row r="68">
      <c r="A68" s="16" t="inlineStr">
        <is>
          <t>App10-B8</t>
        </is>
      </c>
      <c r="B68" s="16" t="inlineStr">
        <is>
          <t>CLD-15</t>
        </is>
      </c>
      <c r="C68" s="16" t="inlineStr">
        <is>
          <t>PLATFORM</t>
        </is>
      </c>
      <c r="D68" s="16" t="inlineStr">
        <is>
          <t>Cryptographic Key Management</t>
        </is>
      </c>
      <c r="E68" s="16" t="inlineStr">
        <is>
          <t>Key ownership, rotation, HSM, and lifecycle management</t>
        </is>
      </c>
      <c r="F68" s="16" t="inlineStr"/>
      <c r="G68" s="16" t="inlineStr"/>
      <c r="H68" s="16" t="inlineStr"/>
      <c r="I68" s="16" t="inlineStr"/>
      <c r="J68" s="16" t="inlineStr"/>
      <c r="K68" s="16" t="inlineStr"/>
      <c r="L68" s="16" t="inlineStr"/>
      <c r="M68" s="17" t="inlineStr"/>
      <c r="N68" s="17" t="inlineStr"/>
    </row>
    <row r="69">
      <c r="A69" s="7" t="inlineStr">
        <is>
          <t>App10-B8(a)</t>
        </is>
      </c>
      <c r="B69" s="7" t="inlineStr">
        <is>
          <t>CLD-15.1</t>
        </is>
      </c>
      <c r="C69" s="7" t="inlineStr"/>
      <c r="D69" s="7" t="inlineStr"/>
      <c r="E69" s="7" t="inlineStr">
        <is>
          <t>Key ownership model</t>
        </is>
      </c>
      <c r="F69" s="7" t="inlineStr">
        <is>
          <t>1. Identify key ownership model per service (CSP-managed, CMK, BYOK, HYOK).
2. Verify key ownership decision based on data classification.
3. Check FI maintains control over keys for sensitive data.
4. Confirm key ownership documented.</t>
        </is>
      </c>
      <c r="G69" s="7" t="inlineStr">
        <is>
          <t>Key ownership matrix; Data classification-to-key mapping; Key control documentation</t>
        </is>
      </c>
      <c r="H69" s="7" t="inlineStr">
        <is>
          <t>Inspection</t>
        </is>
      </c>
      <c r="I69" s="7" t="inlineStr"/>
      <c r="J69" s="7" t="inlineStr"/>
      <c r="K69" s="7" t="inlineStr"/>
      <c r="L69" s="7" t="inlineStr"/>
      <c r="M69" s="7" t="inlineStr"/>
      <c r="N69" s="7" t="inlineStr"/>
    </row>
    <row r="70">
      <c r="A70" s="7" t="inlineStr">
        <is>
          <t>App10-B8(b)</t>
        </is>
      </c>
      <c r="B70" s="7" t="inlineStr">
        <is>
          <t>CLD-15.2</t>
        </is>
      </c>
      <c r="C70" s="7" t="inlineStr"/>
      <c r="D70" s="7" t="inlineStr"/>
      <c r="E70" s="7" t="inlineStr">
        <is>
          <t>Key rotation and lifecycle</t>
        </is>
      </c>
      <c r="F70" s="7" t="inlineStr">
        <is>
          <t>1. Verify key rotation schedule (at least annual for symmetric keys).
2. Check key lifecycle management (generation, distribution, storage, rotation, revocation, destruction).
3. Confirm key version management.
4. Verify automated rotation where possible.</t>
        </is>
      </c>
      <c r="G70" s="7" t="inlineStr">
        <is>
          <t>Key rotation schedule; Lifecycle management procedures; Key version tracking; Automation config</t>
        </is>
      </c>
      <c r="H70" s="7" t="inlineStr">
        <is>
          <t>Inspection</t>
        </is>
      </c>
      <c r="I70" s="7" t="inlineStr"/>
      <c r="J70" s="7" t="inlineStr"/>
      <c r="K70" s="7" t="inlineStr"/>
      <c r="L70" s="7" t="inlineStr"/>
      <c r="M70" s="7" t="inlineStr"/>
      <c r="N70" s="7" t="inlineStr"/>
    </row>
    <row r="71">
      <c r="A71" s="7" t="inlineStr">
        <is>
          <t>App10-B8(c)</t>
        </is>
      </c>
      <c r="B71" s="7" t="inlineStr">
        <is>
          <t>CLD-15.3</t>
        </is>
      </c>
      <c r="C71" s="7" t="inlineStr"/>
      <c r="D71" s="7" t="inlineStr"/>
      <c r="E71" s="7" t="inlineStr">
        <is>
          <t>HSM and secure key storage</t>
        </is>
      </c>
      <c r="F71" s="7" t="inlineStr">
        <is>
          <t>1. Verify HSM usage for key storage where appropriate.
2. Check HSM compliance certifications (FIPS 140-2 Level 3+).
3. Confirm key access controls restrict to authorised services/personnel.
4. Verify key backup and recovery procedures.</t>
        </is>
      </c>
      <c r="G71" s="7" t="inlineStr">
        <is>
          <t>HSM config; FIPS certification; Key access controls; Key backup procedures</t>
        </is>
      </c>
      <c r="H71" s="7" t="inlineStr">
        <is>
          <t>Inspection</t>
        </is>
      </c>
      <c r="I71" s="7" t="inlineStr"/>
      <c r="J71" s="7" t="inlineStr"/>
      <c r="K71" s="7" t="inlineStr"/>
      <c r="L71" s="7" t="inlineStr"/>
      <c r="M71" s="7" t="inlineStr"/>
      <c r="N71" s="7" t="inlineStr"/>
    </row>
    <row r="72">
      <c r="A72" s="7" t="inlineStr">
        <is>
          <t>App10-B8(d)</t>
        </is>
      </c>
      <c r="B72" s="7" t="inlineStr">
        <is>
          <t>CLD-15.4</t>
        </is>
      </c>
      <c r="C72" s="7" t="inlineStr"/>
      <c r="D72" s="7" t="inlineStr"/>
      <c r="E72" s="7" t="inlineStr">
        <is>
          <t>Encryption standards and algorithms</t>
        </is>
      </c>
      <c r="F72" s="7" t="inlineStr">
        <is>
          <t>1. Verify encryption algorithms meet minimum standards (AES-256, RSA-2048+).
2. Check no deprecated algorithms in use.
3. Confirm encryption applied at rest and in transit for all sensitive data.
4. Verify crypto agility — ability to update algorithms when needed.</t>
        </is>
      </c>
      <c r="G72" s="7" t="inlineStr">
        <is>
          <t>Encryption standards policy; Algorithm inventory; At-rest/in-transit encryption audit; Crypto agility assessment</t>
        </is>
      </c>
      <c r="H72" s="7" t="inlineStr">
        <is>
          <t>Inspection</t>
        </is>
      </c>
      <c r="I72" s="7" t="inlineStr"/>
      <c r="J72" s="7" t="inlineStr"/>
      <c r="K72" s="7" t="inlineStr"/>
      <c r="L72" s="7" t="inlineStr"/>
      <c r="M72" s="7" t="inlineStr"/>
      <c r="N72" s="7" t="inlineStr"/>
    </row>
    <row r="73">
      <c r="A73" s="12" t="inlineStr">
        <is>
          <t>B9 — Access Controls</t>
        </is>
      </c>
      <c r="B73" s="13" t="n"/>
      <c r="C73" s="13" t="n"/>
      <c r="D73" s="13" t="n"/>
      <c r="E73" s="13" t="n"/>
      <c r="F73" s="13" t="n"/>
      <c r="G73" s="13" t="n"/>
      <c r="H73" s="13" t="n"/>
      <c r="I73" s="13" t="n"/>
      <c r="J73" s="13" t="n"/>
      <c r="K73" s="13" t="n"/>
      <c r="L73" s="13" t="n"/>
      <c r="M73" s="13" t="n"/>
      <c r="N73" s="13" t="n"/>
    </row>
    <row r="74">
      <c r="A74" s="14" t="inlineStr">
        <is>
          <t>Cloud IAM is the primary control plane. Expect MFA, least privilege, service account management, privileged access controls. Weak IAM is the most common cloud compromise vector.</t>
        </is>
      </c>
      <c r="B74" s="15" t="n"/>
      <c r="C74" s="15" t="n"/>
      <c r="D74" s="15" t="n"/>
      <c r="E74" s="15" t="n"/>
      <c r="F74" s="15" t="n"/>
      <c r="G74" s="15" t="n"/>
      <c r="H74" s="15" t="n"/>
      <c r="I74" s="15" t="n"/>
      <c r="J74" s="15" t="n"/>
      <c r="K74" s="15" t="n"/>
      <c r="L74" s="15" t="n"/>
      <c r="M74" s="15" t="n"/>
      <c r="N74" s="15" t="n"/>
    </row>
    <row r="75">
      <c r="A75" s="16" t="inlineStr">
        <is>
          <t>App10-B9</t>
        </is>
      </c>
      <c r="B75" s="16" t="inlineStr">
        <is>
          <t>CLD-16</t>
        </is>
      </c>
      <c r="C75" s="16" t="inlineStr">
        <is>
          <t>PLATFORM</t>
        </is>
      </c>
      <c r="D75" s="16" t="inlineStr">
        <is>
          <t>Access Controls</t>
        </is>
      </c>
      <c r="E75" s="16" t="inlineStr">
        <is>
          <t>IAM, MFA, least privilege, service accounts, and privileged access management</t>
        </is>
      </c>
      <c r="F75" s="16" t="inlineStr"/>
      <c r="G75" s="16" t="inlineStr"/>
      <c r="H75" s="16" t="inlineStr"/>
      <c r="I75" s="16" t="inlineStr"/>
      <c r="J75" s="16" t="inlineStr"/>
      <c r="K75" s="16" t="inlineStr"/>
      <c r="L75" s="16" t="inlineStr"/>
      <c r="M75" s="17" t="inlineStr"/>
      <c r="N75" s="17" t="inlineStr"/>
    </row>
    <row r="76">
      <c r="A76" s="7" t="inlineStr">
        <is>
          <t>App10-B9(a)(i)</t>
        </is>
      </c>
      <c r="B76" s="7" t="inlineStr">
        <is>
          <t>CLD-16.1</t>
        </is>
      </c>
      <c r="C76" s="7" t="inlineStr"/>
      <c r="D76" s="7" t="inlineStr"/>
      <c r="E76" s="7" t="inlineStr">
        <is>
          <t>IAM architecture and federation</t>
        </is>
      </c>
      <c r="F76" s="7" t="inlineStr">
        <is>
          <t>1. Review cloud IAM architecture.
2. Verify identity federation with enterprise IdP.
3. Check SSO integration.
4. Confirm centralised identity management.</t>
        </is>
      </c>
      <c r="G76" s="7" t="inlineStr">
        <is>
          <t>IAM architecture; Federation config; SSO integration; Centralised management evidence</t>
        </is>
      </c>
      <c r="H76" s="7" t="inlineStr">
        <is>
          <t>Inspection</t>
        </is>
      </c>
      <c r="I76" s="7" t="inlineStr"/>
      <c r="J76" s="7" t="inlineStr"/>
      <c r="K76" s="7" t="inlineStr"/>
      <c r="L76" s="7" t="inlineStr"/>
      <c r="M76" s="7" t="inlineStr"/>
      <c r="N76" s="7" t="inlineStr"/>
    </row>
    <row r="77">
      <c r="A77" s="7" t="inlineStr">
        <is>
          <t>App10-B9(a)(ii)</t>
        </is>
      </c>
      <c r="B77" s="7" t="inlineStr">
        <is>
          <t>CLD-16.2</t>
        </is>
      </c>
      <c r="C77" s="7" t="inlineStr"/>
      <c r="D77" s="7" t="inlineStr"/>
      <c r="E77" s="7" t="inlineStr">
        <is>
          <t>MFA enforcement</t>
        </is>
      </c>
      <c r="F77" s="7" t="inlineStr">
        <is>
          <t>1. Verify MFA enforced for all cloud console and API access.
2. Check MFA method strength (hardware tokens, FIDO2 preferred).
3. Confirm MFA not bypassable.
4. Verify MFA for root/break-glass accounts.</t>
        </is>
      </c>
      <c r="G77" s="7" t="inlineStr">
        <is>
          <t>MFA enforcement config; MFA method assessment; Bypass prevention; Root account MFA</t>
        </is>
      </c>
      <c r="H77" s="7" t="inlineStr">
        <is>
          <t>Inspection</t>
        </is>
      </c>
      <c r="I77" s="7" t="inlineStr"/>
      <c r="J77" s="7" t="inlineStr"/>
      <c r="K77" s="7" t="inlineStr"/>
      <c r="L77" s="7" t="inlineStr"/>
      <c r="M77" s="7" t="inlineStr"/>
      <c r="N77" s="7" t="inlineStr"/>
    </row>
    <row r="78">
      <c r="A78" s="7" t="inlineStr">
        <is>
          <t>App10-B9(a)(iii)</t>
        </is>
      </c>
      <c r="B78" s="7" t="inlineStr">
        <is>
          <t>CLD-16.3</t>
        </is>
      </c>
      <c r="C78" s="7" t="inlineStr"/>
      <c r="D78" s="7" t="inlineStr"/>
      <c r="E78" s="7" t="inlineStr">
        <is>
          <t>Least privilege enforcement</t>
        </is>
      </c>
      <c r="F78" s="7" t="inlineStr">
        <is>
          <t>1. Review IAM policies for overly permissive roles.
2. Check for wildcard permissions.
3. Verify permission boundaries applied.
4. Confirm unused permissions removed (access advisor).</t>
        </is>
      </c>
      <c r="G78" s="7" t="inlineStr">
        <is>
          <t>IAM policy review; Wildcard permission audit; Permission boundaries; Access advisor reports</t>
        </is>
      </c>
      <c r="H78" s="7" t="inlineStr">
        <is>
          <t>Inspection</t>
        </is>
      </c>
      <c r="I78" s="7" t="inlineStr"/>
      <c r="J78" s="7" t="inlineStr"/>
      <c r="K78" s="7" t="inlineStr"/>
      <c r="L78" s="7" t="inlineStr"/>
      <c r="M78" s="7" t="inlineStr"/>
      <c r="N78" s="7" t="inlineStr"/>
    </row>
    <row r="79">
      <c r="A79" s="7" t="inlineStr">
        <is>
          <t>App10-B9(a)(iv)</t>
        </is>
      </c>
      <c r="B79" s="7" t="inlineStr">
        <is>
          <t>CLD-16.4</t>
        </is>
      </c>
      <c r="C79" s="7" t="inlineStr"/>
      <c r="D79" s="7" t="inlineStr"/>
      <c r="E79" s="7" t="inlineStr">
        <is>
          <t>Service account and API key management</t>
        </is>
      </c>
      <c r="F79" s="7" t="inlineStr">
        <is>
          <t>1. Obtain service account inventory.
2. Verify service accounts follow least privilege.
3. Check API key rotation enforced.
4. Confirm unused service accounts and keys disabled.
5. Verify secrets not embedded in code.</t>
        </is>
      </c>
      <c r="G79" s="7" t="inlineStr">
        <is>
          <t>Service account inventory; Permission review; Key rotation config; Unused account audit; Code scanning for secrets</t>
        </is>
      </c>
      <c r="H79" s="7" t="inlineStr">
        <is>
          <t>Inspection</t>
        </is>
      </c>
      <c r="I79" s="7" t="inlineStr"/>
      <c r="J79" s="7" t="inlineStr"/>
      <c r="K79" s="7" t="inlineStr"/>
      <c r="L79" s="7" t="inlineStr"/>
      <c r="M79" s="7" t="inlineStr"/>
      <c r="N79" s="7" t="inlineStr"/>
    </row>
    <row r="80">
      <c r="A80" s="7" t="inlineStr">
        <is>
          <t>App10-B9(a)(v)</t>
        </is>
      </c>
      <c r="B80" s="7" t="inlineStr">
        <is>
          <t>CLD-16.5</t>
        </is>
      </c>
      <c r="C80" s="7" t="inlineStr"/>
      <c r="D80" s="7" t="inlineStr"/>
      <c r="E80" s="7" t="inlineStr">
        <is>
          <t>Access reviews</t>
        </is>
      </c>
      <c r="F80" s="7" t="inlineStr">
        <is>
          <t>1. Verify periodic access reviews for cloud IAM (at least quarterly for privileged).
2. Check reviews result in access modifications.
3. Confirm stale/orphan accounts identified and removed.
4. Verify review evidence documented.</t>
        </is>
      </c>
      <c r="G80" s="7" t="inlineStr">
        <is>
          <t>Access review schedule; Review records; Access modification evidence; Stale account remediation</t>
        </is>
      </c>
      <c r="H80" s="7" t="inlineStr">
        <is>
          <t>Inspection</t>
        </is>
      </c>
      <c r="I80" s="7" t="inlineStr"/>
      <c r="J80" s="7" t="inlineStr"/>
      <c r="K80" s="7" t="inlineStr"/>
      <c r="L80" s="7" t="inlineStr"/>
      <c r="M80" s="7" t="inlineStr"/>
      <c r="N80" s="7" t="inlineStr"/>
    </row>
    <row r="81">
      <c r="A81" s="7" t="inlineStr">
        <is>
          <t>App10-B9(b)</t>
        </is>
      </c>
      <c r="B81" s="7" t="inlineStr">
        <is>
          <t>CLD-16.6</t>
        </is>
      </c>
      <c r="C81" s="7" t="inlineStr"/>
      <c r="D81" s="7" t="inlineStr"/>
      <c r="E81" s="7" t="inlineStr">
        <is>
          <t>Privileged access management</t>
        </is>
      </c>
      <c r="F81" s="7" t="inlineStr">
        <is>
          <t>1. Verify privileged/admin access limited and separately managed.
2. Check PAM solution deployed for cloud admin access.
3. Confirm session recording for privileged sessions.
4. Verify just-in-time access for administrative tasks.</t>
        </is>
      </c>
      <c r="G81" s="7" t="inlineStr">
        <is>
          <t>Privileged access inventory; PAM config; Session recording; JIT access config</t>
        </is>
      </c>
      <c r="H81" s="7" t="inlineStr">
        <is>
          <t>Inspection</t>
        </is>
      </c>
      <c r="I81" s="7" t="inlineStr"/>
      <c r="J81" s="7" t="inlineStr"/>
      <c r="K81" s="7" t="inlineStr"/>
      <c r="L81" s="7" t="inlineStr"/>
      <c r="M81" s="7" t="inlineStr"/>
      <c r="N81" s="7" t="inlineStr"/>
    </row>
    <row r="82">
      <c r="A82" s="7" t="inlineStr">
        <is>
          <t>App10-B9(c)</t>
        </is>
      </c>
      <c r="B82" s="7" t="inlineStr">
        <is>
          <t>CLD-16.7</t>
        </is>
      </c>
      <c r="C82" s="7" t="inlineStr"/>
      <c r="D82" s="7" t="inlineStr"/>
      <c r="E82" s="7" t="inlineStr">
        <is>
          <t>Break-glass / emergency access</t>
        </is>
      </c>
      <c r="F82" s="7" t="inlineStr">
        <is>
          <t>1. Verify break-glass procedures documented.
2. Check break-glass accounts secured (hardware MFA, vault-managed).
3. Confirm break-glass usage triggers alerts and review.
4. Verify break-glass tested at least annually.</t>
        </is>
      </c>
      <c r="G82" s="7" t="inlineStr">
        <is>
          <t>Break-glass procedures; Account security config; Alert config; Test records</t>
        </is>
      </c>
      <c r="H82" s="7" t="inlineStr">
        <is>
          <t>Inspection</t>
        </is>
      </c>
      <c r="I82" s="7" t="inlineStr"/>
      <c r="J82" s="7" t="inlineStr"/>
      <c r="K82" s="7" t="inlineStr"/>
      <c r="L82" s="7" t="inlineStr"/>
      <c r="M82" s="7" t="inlineStr"/>
      <c r="N82" s="7" t="inlineStr"/>
    </row>
    <row r="83">
      <c r="A83" s="7" t="inlineStr">
        <is>
          <t>App10-B9(d)(i)</t>
        </is>
      </c>
      <c r="B83" s="7" t="inlineStr">
        <is>
          <t>CLD-16.8</t>
        </is>
      </c>
      <c r="C83" s="7" t="inlineStr"/>
      <c r="D83" s="7" t="inlineStr"/>
      <c r="E83" s="7" t="inlineStr">
        <is>
          <t>Root account security</t>
        </is>
      </c>
      <c r="F83" s="7" t="inlineStr">
        <is>
          <t>1. Verify root/owner accounts not used for daily operations.
2. Check root access secured with hardware MFA.
3. Confirm root usage monitored and alerted.
4. Verify root credentials stored securely.</t>
        </is>
      </c>
      <c r="G83" s="7" t="inlineStr">
        <is>
          <t>Root account usage policy; Hardware MFA config; Root usage alerts; Credential storage</t>
        </is>
      </c>
      <c r="H83" s="7" t="inlineStr">
        <is>
          <t>Inspection</t>
        </is>
      </c>
      <c r="I83" s="7" t="inlineStr"/>
      <c r="J83" s="7" t="inlineStr"/>
      <c r="K83" s="7" t="inlineStr"/>
      <c r="L83" s="7" t="inlineStr"/>
      <c r="M83" s="7" t="inlineStr"/>
      <c r="N83" s="7" t="inlineStr"/>
    </row>
    <row r="84">
      <c r="A84" s="7" t="inlineStr">
        <is>
          <t>App10-B9(d)(ii)</t>
        </is>
      </c>
      <c r="B84" s="7" t="inlineStr">
        <is>
          <t>CLD-16.9</t>
        </is>
      </c>
      <c r="C84" s="7" t="inlineStr"/>
      <c r="D84" s="7" t="inlineStr"/>
      <c r="E84" s="7" t="inlineStr">
        <is>
          <t>Cross-account access controls</t>
        </is>
      </c>
      <c r="F84" s="7" t="inlineStr">
        <is>
          <t>1. Verify cross-account access governed by policy.
2. Check trust relationships reviewed periodically.
3. Confirm cross-account roles follow least privilege.
4. Verify logging of cross-account access.</t>
        </is>
      </c>
      <c r="G84" s="7" t="inlineStr">
        <is>
          <t>Cross-account access policy; Trust relationship review; Role permissions; Cross-account logging</t>
        </is>
      </c>
      <c r="H84" s="7" t="inlineStr">
        <is>
          <t>Inspection</t>
        </is>
      </c>
      <c r="I84" s="7" t="inlineStr"/>
      <c r="J84" s="7" t="inlineStr"/>
      <c r="K84" s="7" t="inlineStr"/>
      <c r="L84" s="7" t="inlineStr"/>
      <c r="M84" s="7" t="inlineStr"/>
      <c r="N84" s="7" t="inlineStr"/>
    </row>
    <row r="85">
      <c r="A85" s="12" t="inlineStr">
        <is>
          <t>B10 — Cybersecurity Operations</t>
        </is>
      </c>
      <c r="B85" s="13" t="n"/>
      <c r="C85" s="13" t="n"/>
      <c r="D85" s="13" t="n"/>
      <c r="E85" s="13" t="n"/>
      <c r="F85" s="13" t="n"/>
      <c r="G85" s="13" t="n"/>
      <c r="H85" s="13" t="n"/>
      <c r="I85" s="13" t="n"/>
      <c r="J85" s="13" t="n"/>
      <c r="K85" s="13" t="n"/>
      <c r="L85" s="13" t="n"/>
      <c r="M85" s="13" t="n"/>
      <c r="N85" s="13" t="n"/>
    </row>
    <row r="86">
      <c r="A86" s="14" t="inlineStr">
        <is>
          <t>Cloud security operations require adapted monitoring, detection, and response capabilities. Expect cloud-native logging, SIEM integration, CSPM, and cloud-specific SOC coverage.</t>
        </is>
      </c>
      <c r="B86" s="15" t="n"/>
      <c r="C86" s="15" t="n"/>
      <c r="D86" s="15" t="n"/>
      <c r="E86" s="15" t="n"/>
      <c r="F86" s="15" t="n"/>
      <c r="G86" s="15" t="n"/>
      <c r="H86" s="15" t="n"/>
      <c r="I86" s="15" t="n"/>
      <c r="J86" s="15" t="n"/>
      <c r="K86" s="15" t="n"/>
      <c r="L86" s="15" t="n"/>
      <c r="M86" s="15" t="n"/>
      <c r="N86" s="15" t="n"/>
    </row>
    <row r="87">
      <c r="A87" s="16" t="inlineStr">
        <is>
          <t>App10-B10</t>
        </is>
      </c>
      <c r="B87" s="16" t="inlineStr">
        <is>
          <t>CLD-17</t>
        </is>
      </c>
      <c r="C87" s="16" t="inlineStr">
        <is>
          <t>PLATFORM</t>
        </is>
      </c>
      <c r="D87" s="16" t="inlineStr">
        <is>
          <t>Cybersecurity Operations</t>
        </is>
      </c>
      <c r="E87" s="16" t="inlineStr">
        <is>
          <t>Cloud security monitoring, CSPM, SIEM integration, and SOC coverage</t>
        </is>
      </c>
      <c r="F87" s="16" t="inlineStr"/>
      <c r="G87" s="16" t="inlineStr"/>
      <c r="H87" s="16" t="inlineStr"/>
      <c r="I87" s="16" t="inlineStr"/>
      <c r="J87" s="16" t="inlineStr"/>
      <c r="K87" s="16" t="inlineStr"/>
      <c r="L87" s="16" t="inlineStr"/>
      <c r="M87" s="17" t="inlineStr"/>
      <c r="N87" s="17" t="inlineStr"/>
    </row>
    <row r="88">
      <c r="A88" s="7" t="inlineStr">
        <is>
          <t>App10-B10(a)</t>
        </is>
      </c>
      <c r="B88" s="7" t="inlineStr">
        <is>
          <t>CLD-17.1</t>
        </is>
      </c>
      <c r="C88" s="7" t="inlineStr"/>
      <c r="D88" s="7" t="inlineStr"/>
      <c r="E88" s="7" t="inlineStr">
        <is>
          <t>Cloud audit logging</t>
        </is>
      </c>
      <c r="F88" s="7" t="inlineStr">
        <is>
          <t>1. Verify cloud-native audit logging enabled (CloudTrail, Activity Log, etc.).
2. Confirm logs cover all regions and accounts.
3. Check log integrity protection (tamper-proof).
4. Verify log retention aligned with regulatory requirements.</t>
        </is>
      </c>
      <c r="G88" s="7" t="inlineStr">
        <is>
          <t>Cloud audit log config; Region/account coverage; Log integrity protection; Retention config</t>
        </is>
      </c>
      <c r="H88" s="7" t="inlineStr">
        <is>
          <t>Inspection</t>
        </is>
      </c>
      <c r="I88" s="7" t="inlineStr"/>
      <c r="J88" s="7" t="inlineStr"/>
      <c r="K88" s="7" t="inlineStr"/>
      <c r="L88" s="7" t="inlineStr"/>
      <c r="M88" s="7" t="inlineStr"/>
      <c r="N88" s="7" t="inlineStr"/>
    </row>
    <row r="89">
      <c r="A89" s="7" t="inlineStr">
        <is>
          <t>App10-B10(b)(i)</t>
        </is>
      </c>
      <c r="B89" s="7" t="inlineStr">
        <is>
          <t>CLD-17.2</t>
        </is>
      </c>
      <c r="C89" s="7" t="inlineStr"/>
      <c r="D89" s="7" t="inlineStr"/>
      <c r="E89" s="7" t="inlineStr">
        <is>
          <t>SIEM integration and alerting</t>
        </is>
      </c>
      <c r="F89" s="7" t="inlineStr">
        <is>
          <t>1. Confirm centralised log aggregation with SIEM.
2. Check alert rules for security-relevant cloud events.
3. Verify SOC coverage extends to cloud events.
4. Confirm cloud-specific detection rules (IAM changes, data exposure, config changes).</t>
        </is>
      </c>
      <c r="G89" s="7" t="inlineStr">
        <is>
          <t>SIEM integration; Alert rules; SOC cloud coverage; Cloud detection rules</t>
        </is>
      </c>
      <c r="H89" s="7" t="inlineStr">
        <is>
          <t>Inspection</t>
        </is>
      </c>
      <c r="I89" s="7" t="inlineStr"/>
      <c r="J89" s="7" t="inlineStr"/>
      <c r="K89" s="7" t="inlineStr"/>
      <c r="L89" s="7" t="inlineStr"/>
      <c r="M89" s="7" t="inlineStr"/>
      <c r="N89" s="7" t="inlineStr"/>
    </row>
    <row r="90">
      <c r="A90" s="7" t="inlineStr">
        <is>
          <t>App10-B10(b)(ii)</t>
        </is>
      </c>
      <c r="B90" s="7" t="inlineStr">
        <is>
          <t>CLD-17.3</t>
        </is>
      </c>
      <c r="C90" s="7" t="inlineStr"/>
      <c r="D90" s="7" t="inlineStr"/>
      <c r="E90" s="7" t="inlineStr">
        <is>
          <t>CSPM deployment and findings</t>
        </is>
      </c>
      <c r="F90" s="7" t="inlineStr">
        <is>
          <t>1. Verify CSPM deployed to detect misconfigurations.
2. Review CSPM findings and remediation status.
3. Check critical findings remediated within defined SLA.
4. Confirm CSPM covers all cloud accounts and services.</t>
        </is>
      </c>
      <c r="G90" s="7" t="inlineStr">
        <is>
          <t>CSPM config; Findings report; Remediation tracker; Coverage assessment</t>
        </is>
      </c>
      <c r="H90" s="7" t="inlineStr">
        <is>
          <t>Inspection</t>
        </is>
      </c>
      <c r="I90" s="7" t="inlineStr"/>
      <c r="J90" s="7" t="inlineStr"/>
      <c r="K90" s="7" t="inlineStr"/>
      <c r="L90" s="7" t="inlineStr"/>
      <c r="M90" s="7" t="inlineStr"/>
      <c r="N90" s="7" t="inlineStr"/>
    </row>
    <row r="91">
      <c r="A91" s="7" t="inlineStr">
        <is>
          <t>App10-B10(c)(i)</t>
        </is>
      </c>
      <c r="B91" s="7" t="inlineStr">
        <is>
          <t>CLD-17.4</t>
        </is>
      </c>
      <c r="C91" s="7" t="inlineStr"/>
      <c r="D91" s="7" t="inlineStr"/>
      <c r="E91" s="7" t="inlineStr">
        <is>
          <t>Cloud incident response</t>
        </is>
      </c>
      <c r="F91" s="7" t="inlineStr">
        <is>
          <t>1. Review IR plan for cloud-specific scenarios (account compromise, data breach, CSP outage).
2. Verify procedures account for shared responsibility model.
3. Check CSP escalation contacts documented.
4. Verify IR exercises include cloud scenarios.</t>
        </is>
      </c>
      <c r="G91" s="7" t="inlineStr">
        <is>
          <t>Cloud IR procedures; CSP escalation contacts; IR exercise records</t>
        </is>
      </c>
      <c r="H91" s="7" t="inlineStr">
        <is>
          <t>Inspection / Inquiry</t>
        </is>
      </c>
      <c r="I91" s="7" t="inlineStr"/>
      <c r="J91" s="7" t="inlineStr"/>
      <c r="K91" s="7" t="inlineStr"/>
      <c r="L91" s="7" t="inlineStr"/>
      <c r="M91" s="7" t="inlineStr"/>
      <c r="N91" s="7" t="inlineStr"/>
    </row>
    <row r="92">
      <c r="A92" s="7" t="inlineStr">
        <is>
          <t>App10-B10(c)(ii)</t>
        </is>
      </c>
      <c r="B92" s="7" t="inlineStr">
        <is>
          <t>CLD-17.5</t>
        </is>
      </c>
      <c r="C92" s="7" t="inlineStr"/>
      <c r="D92" s="7" t="inlineStr"/>
      <c r="E92" s="7" t="inlineStr">
        <is>
          <t>Cloud forensic capability</t>
        </is>
      </c>
      <c r="F92" s="7" t="inlineStr">
        <is>
          <t>1. Verify forensic capability in cloud (snapshot, log preservation, evidence collection).
2. Check forensic procedures documented.
3. Confirm forensic tools available.
4. Verify chain of custody procedures for cloud evidence.</t>
        </is>
      </c>
      <c r="G92" s="7" t="inlineStr">
        <is>
          <t>Forensic procedures; Tool inventory; Evidence collection capability; Chain of custody</t>
        </is>
      </c>
      <c r="H92" s="7" t="inlineStr">
        <is>
          <t>Inspection</t>
        </is>
      </c>
      <c r="I92" s="7" t="inlineStr"/>
      <c r="J92" s="7" t="inlineStr"/>
      <c r="K92" s="7" t="inlineStr"/>
      <c r="L92" s="7" t="inlineStr"/>
      <c r="M92" s="7" t="inlineStr"/>
      <c r="N92" s="7" t="inlineStr"/>
    </row>
    <row r="93">
      <c r="A93" s="12" t="inlineStr">
        <is>
          <t>B11 — DDoS</t>
        </is>
      </c>
      <c r="B93" s="13" t="n"/>
      <c r="C93" s="13" t="n"/>
      <c r="D93" s="13" t="n"/>
      <c r="E93" s="13" t="n"/>
      <c r="F93" s="13" t="n"/>
      <c r="G93" s="13" t="n"/>
      <c r="H93" s="13" t="n"/>
      <c r="I93" s="13" t="n"/>
      <c r="J93" s="13" t="n"/>
      <c r="K93" s="13" t="n"/>
      <c r="L93" s="13" t="n"/>
      <c r="M93" s="13" t="n"/>
      <c r="N93" s="13" t="n"/>
    </row>
    <row r="94">
      <c r="A94" s="14" t="inlineStr">
        <is>
          <t>DDoS protection for cloud-hosted services is essential. Expect L3/L4 and L7 protection, auto-scaling, and incident response procedures.</t>
        </is>
      </c>
      <c r="B94" s="15" t="n"/>
      <c r="C94" s="15" t="n"/>
      <c r="D94" s="15" t="n"/>
      <c r="E94" s="15" t="n"/>
      <c r="F94" s="15" t="n"/>
      <c r="G94" s="15" t="n"/>
      <c r="H94" s="15" t="n"/>
      <c r="I94" s="15" t="n"/>
      <c r="J94" s="15" t="n"/>
      <c r="K94" s="15" t="n"/>
      <c r="L94" s="15" t="n"/>
      <c r="M94" s="15" t="n"/>
      <c r="N94" s="15" t="n"/>
    </row>
    <row r="95">
      <c r="A95" s="16" t="inlineStr">
        <is>
          <t>App10-B11</t>
        </is>
      </c>
      <c r="B95" s="16" t="inlineStr">
        <is>
          <t>CLD-18</t>
        </is>
      </c>
      <c r="C95" s="16" t="inlineStr">
        <is>
          <t>PLATFORM</t>
        </is>
      </c>
      <c r="D95" s="16" t="inlineStr">
        <is>
          <t>DDoS Protection</t>
        </is>
      </c>
      <c r="E95" s="16" t="inlineStr">
        <is>
          <t>Layered DDoS protection, auto-scaling, and response procedures</t>
        </is>
      </c>
      <c r="F95" s="16" t="inlineStr"/>
      <c r="G95" s="16" t="inlineStr"/>
      <c r="H95" s="16" t="inlineStr"/>
      <c r="I95" s="16" t="inlineStr"/>
      <c r="J95" s="16" t="inlineStr"/>
      <c r="K95" s="16" t="inlineStr"/>
      <c r="L95" s="16" t="inlineStr"/>
      <c r="M95" s="17" t="inlineStr"/>
      <c r="N95" s="17" t="inlineStr"/>
    </row>
    <row r="96">
      <c r="A96" s="7" t="inlineStr">
        <is>
          <t>App10-B11(a)</t>
        </is>
      </c>
      <c r="B96" s="7" t="inlineStr">
        <is>
          <t>CLD-18.1</t>
        </is>
      </c>
      <c r="C96" s="7" t="inlineStr"/>
      <c r="D96" s="7" t="inlineStr"/>
      <c r="E96" s="7" t="inlineStr">
        <is>
          <t>DDoS protection architecture</t>
        </is>
      </c>
      <c r="F96" s="7" t="inlineStr">
        <is>
          <t>1. Verify DDoS protection enabled (L3/L4 and L7).
2. Check CSP-native DDoS protection activated.
3. Confirm WAF deployed for application-layer protection.
4. Verify auto-scaling configured to absorb traffic spikes.</t>
        </is>
      </c>
      <c r="G96" s="7" t="inlineStr">
        <is>
          <t>DDoS protection config; CSP DDoS service; WAF config; Auto-scaling config</t>
        </is>
      </c>
      <c r="H96" s="7" t="inlineStr">
        <is>
          <t>Inspection</t>
        </is>
      </c>
      <c r="I96" s="7" t="inlineStr"/>
      <c r="J96" s="7" t="inlineStr"/>
      <c r="K96" s="7" t="inlineStr"/>
      <c r="L96" s="7" t="inlineStr"/>
      <c r="M96" s="7" t="inlineStr"/>
      <c r="N96" s="7" t="inlineStr"/>
    </row>
    <row r="97">
      <c r="A97" s="7" t="inlineStr">
        <is>
          <t>App10-B11(b)</t>
        </is>
      </c>
      <c r="B97" s="7" t="inlineStr">
        <is>
          <t>CLD-18.2</t>
        </is>
      </c>
      <c r="C97" s="7" t="inlineStr"/>
      <c r="D97" s="7" t="inlineStr"/>
      <c r="E97" s="7" t="inlineStr">
        <is>
          <t>DDoS response and testing</t>
        </is>
      </c>
      <c r="F97" s="7" t="inlineStr">
        <is>
          <t>1. Verify DDoS response procedures documented.
2. Check DDoS testing/simulation conducted.
3. Confirm CSP DDoS support engagement process understood.
4. Verify monitoring detects DDoS attacks promptly.</t>
        </is>
      </c>
      <c r="G97" s="7" t="inlineStr">
        <is>
          <t>DDoS response procedures; Test/simulation results; CSP support process; DDoS monitoring</t>
        </is>
      </c>
      <c r="H97" s="7" t="inlineStr">
        <is>
          <t>Inspection</t>
        </is>
      </c>
      <c r="I97" s="7" t="inlineStr"/>
      <c r="J97" s="7" t="inlineStr"/>
      <c r="K97" s="7" t="inlineStr"/>
      <c r="L97" s="7" t="inlineStr"/>
      <c r="M97" s="7" t="inlineStr"/>
      <c r="N97" s="7" t="inlineStr"/>
    </row>
    <row r="98">
      <c r="A98" s="12" t="inlineStr">
        <is>
          <t>B12 — DLP</t>
        </is>
      </c>
      <c r="B98" s="13" t="n"/>
      <c r="C98" s="13" t="n"/>
      <c r="D98" s="13" t="n"/>
      <c r="E98" s="13" t="n"/>
      <c r="F98" s="13" t="n"/>
      <c r="G98" s="13" t="n"/>
      <c r="H98" s="13" t="n"/>
      <c r="I98" s="13" t="n"/>
      <c r="J98" s="13" t="n"/>
      <c r="K98" s="13" t="n"/>
      <c r="L98" s="13" t="n"/>
      <c r="M98" s="13" t="n"/>
      <c r="N98" s="13" t="n"/>
    </row>
    <row r="99">
      <c r="A99" s="14" t="inlineStr">
        <is>
          <t>Data Loss Prevention controls prevent exfiltration of sensitive data from cloud environments. Expect DLP policies, monitoring, and response procedures.</t>
        </is>
      </c>
      <c r="B99" s="15" t="n"/>
      <c r="C99" s="15" t="n"/>
      <c r="D99" s="15" t="n"/>
      <c r="E99" s="15" t="n"/>
      <c r="F99" s="15" t="n"/>
      <c r="G99" s="15" t="n"/>
      <c r="H99" s="15" t="n"/>
      <c r="I99" s="15" t="n"/>
      <c r="J99" s="15" t="n"/>
      <c r="K99" s="15" t="n"/>
      <c r="L99" s="15" t="n"/>
      <c r="M99" s="15" t="n"/>
      <c r="N99" s="15" t="n"/>
    </row>
    <row r="100">
      <c r="A100" s="16" t="inlineStr">
        <is>
          <t>App10-B12</t>
        </is>
      </c>
      <c r="B100" s="16" t="inlineStr">
        <is>
          <t>CLD-19</t>
        </is>
      </c>
      <c r="C100" s="16" t="inlineStr">
        <is>
          <t>PLATFORM</t>
        </is>
      </c>
      <c r="D100" s="16" t="inlineStr">
        <is>
          <t>Data Loss Prevention</t>
        </is>
      </c>
      <c r="E100" s="16" t="inlineStr">
        <is>
          <t>DLP policies, monitoring, and exfiltration controls</t>
        </is>
      </c>
      <c r="F100" s="16" t="inlineStr"/>
      <c r="G100" s="16" t="inlineStr"/>
      <c r="H100" s="16" t="inlineStr"/>
      <c r="I100" s="16" t="inlineStr"/>
      <c r="J100" s="16" t="inlineStr"/>
      <c r="K100" s="16" t="inlineStr"/>
      <c r="L100" s="16" t="inlineStr"/>
      <c r="M100" s="17" t="inlineStr"/>
      <c r="N100" s="17" t="inlineStr"/>
    </row>
    <row r="101">
      <c r="A101" s="7" t="inlineStr">
        <is>
          <t>App10-B12(a)</t>
        </is>
      </c>
      <c r="B101" s="7" t="inlineStr">
        <is>
          <t>CLD-19.1</t>
        </is>
      </c>
      <c r="C101" s="7" t="inlineStr"/>
      <c r="D101" s="7" t="inlineStr"/>
      <c r="E101" s="7" t="inlineStr">
        <is>
          <t>DLP policy and controls</t>
        </is>
      </c>
      <c r="F101" s="7" t="inlineStr">
        <is>
          <t>1. Verify DLP policies cover cloud storage, email, endpoints.
2. Check sensitive data patterns defined and monitored.
3. Confirm public access to cloud storage blocked.
4. Verify data sharing controls enforced.</t>
        </is>
      </c>
      <c r="G101" s="7" t="inlineStr">
        <is>
          <t>DLP policy config; Sensitive data patterns; Public access block; Data sharing controls</t>
        </is>
      </c>
      <c r="H101" s="7" t="inlineStr">
        <is>
          <t>Inspection</t>
        </is>
      </c>
      <c r="I101" s="7" t="inlineStr"/>
      <c r="J101" s="7" t="inlineStr"/>
      <c r="K101" s="7" t="inlineStr"/>
      <c r="L101" s="7" t="inlineStr"/>
      <c r="M101" s="7" t="inlineStr"/>
      <c r="N101" s="7" t="inlineStr"/>
    </row>
    <row r="102">
      <c r="A102" s="7" t="inlineStr">
        <is>
          <t>App10-B12(b)</t>
        </is>
      </c>
      <c r="B102" s="7" t="inlineStr">
        <is>
          <t>CLD-19.2</t>
        </is>
      </c>
      <c r="C102" s="7" t="inlineStr"/>
      <c r="D102" s="7" t="inlineStr"/>
      <c r="E102" s="7" t="inlineStr">
        <is>
          <t>DLP monitoring and response</t>
        </is>
      </c>
      <c r="F102" s="7" t="inlineStr">
        <is>
          <t>1. Verify DLP alerts monitored.
2. Check DLP incidents investigated.
3. Confirm DLP false positives tuned.
4. Verify DLP reporting to management.</t>
        </is>
      </c>
      <c r="G102" s="7" t="inlineStr">
        <is>
          <t>DLP alert monitoring; Incident investigation records; Tuning records; Management reports</t>
        </is>
      </c>
      <c r="H102" s="7" t="inlineStr">
        <is>
          <t>Inspection</t>
        </is>
      </c>
      <c r="I102" s="7" t="inlineStr"/>
      <c r="J102" s="7" t="inlineStr"/>
      <c r="K102" s="7" t="inlineStr"/>
      <c r="L102" s="7" t="inlineStr"/>
      <c r="M102" s="7" t="inlineStr"/>
      <c r="N102" s="7" t="inlineStr"/>
    </row>
    <row r="103">
      <c r="A103" s="12" t="inlineStr">
        <is>
          <t>B13 — SOC</t>
        </is>
      </c>
      <c r="B103" s="13" t="n"/>
      <c r="C103" s="13" t="n"/>
      <c r="D103" s="13" t="n"/>
      <c r="E103" s="13" t="n"/>
      <c r="F103" s="13" t="n"/>
      <c r="G103" s="13" t="n"/>
      <c r="H103" s="13" t="n"/>
      <c r="I103" s="13" t="n"/>
      <c r="J103" s="13" t="n"/>
      <c r="K103" s="13" t="n"/>
      <c r="L103" s="13" t="n"/>
      <c r="M103" s="13" t="n"/>
      <c r="N103" s="13" t="n"/>
    </row>
    <row r="104">
      <c r="A104" s="14" t="inlineStr">
        <is>
          <t>SOC operations must extend to cloud environments with cloud-specific capabilities, tooling, and skills.</t>
        </is>
      </c>
      <c r="B104" s="15" t="n"/>
      <c r="C104" s="15" t="n"/>
      <c r="D104" s="15" t="n"/>
      <c r="E104" s="15" t="n"/>
      <c r="F104" s="15" t="n"/>
      <c r="G104" s="15" t="n"/>
      <c r="H104" s="15" t="n"/>
      <c r="I104" s="15" t="n"/>
      <c r="J104" s="15" t="n"/>
      <c r="K104" s="15" t="n"/>
      <c r="L104" s="15" t="n"/>
      <c r="M104" s="15" t="n"/>
      <c r="N104" s="15" t="n"/>
    </row>
    <row r="105">
      <c r="A105" s="16" t="inlineStr">
        <is>
          <t>App10-B13</t>
        </is>
      </c>
      <c r="B105" s="16" t="inlineStr">
        <is>
          <t>CLD-20</t>
        </is>
      </c>
      <c r="C105" s="16" t="inlineStr">
        <is>
          <t>PLATFORM</t>
        </is>
      </c>
      <c r="D105" s="16" t="inlineStr">
        <is>
          <t>SOC</t>
        </is>
      </c>
      <c r="E105" s="16" t="inlineStr">
        <is>
          <t>SOC cloud coverage, skills, and tooling</t>
        </is>
      </c>
      <c r="F105" s="16" t="inlineStr"/>
      <c r="G105" s="16" t="inlineStr"/>
      <c r="H105" s="16" t="inlineStr"/>
      <c r="I105" s="16" t="inlineStr"/>
      <c r="J105" s="16" t="inlineStr"/>
      <c r="K105" s="16" t="inlineStr"/>
      <c r="L105" s="16" t="inlineStr"/>
      <c r="M105" s="17" t="inlineStr"/>
      <c r="N105" s="17" t="inlineStr"/>
    </row>
    <row r="106">
      <c r="A106" s="7" t="inlineStr">
        <is>
          <t>App10-B13(a)</t>
        </is>
      </c>
      <c r="B106" s="7" t="inlineStr">
        <is>
          <t>CLD-20.1</t>
        </is>
      </c>
      <c r="C106" s="7" t="inlineStr"/>
      <c r="D106" s="7" t="inlineStr"/>
      <c r="E106" s="7" t="inlineStr">
        <is>
          <t>SOC cloud coverage</t>
        </is>
      </c>
      <c r="F106" s="7" t="inlineStr">
        <is>
          <t>1. Verify SOC monitors cloud environments 24/7.
2. Check cloud log sources integrated into SOC tooling.
3. Confirm SOC analysts trained on cloud-specific threats.
4. Verify cloud-specific use cases in SIEM.</t>
        </is>
      </c>
      <c r="G106" s="7" t="inlineStr">
        <is>
          <t>SOC cloud coverage documentation; Log source integration; Analyst training records; Cloud use cases</t>
        </is>
      </c>
      <c r="H106" s="7" t="inlineStr">
        <is>
          <t>Inspection</t>
        </is>
      </c>
      <c r="I106" s="7" t="inlineStr"/>
      <c r="J106" s="7" t="inlineStr"/>
      <c r="K106" s="7" t="inlineStr"/>
      <c r="L106" s="7" t="inlineStr"/>
      <c r="M106" s="7" t="inlineStr"/>
      <c r="N106" s="7" t="inlineStr"/>
    </row>
    <row r="107">
      <c r="A107" s="7" t="inlineStr">
        <is>
          <t>App10-B13(b)</t>
        </is>
      </c>
      <c r="B107" s="7" t="inlineStr">
        <is>
          <t>CLD-20.2</t>
        </is>
      </c>
      <c r="C107" s="7" t="inlineStr"/>
      <c r="D107" s="7" t="inlineStr"/>
      <c r="E107" s="7" t="inlineStr">
        <is>
          <t>SOC tooling and automation</t>
        </is>
      </c>
      <c r="F107" s="7" t="inlineStr">
        <is>
          <t>1. Verify SOC tooling supports cloud-native events.
2. Check SOAR playbooks include cloud scenarios.
3. Confirm automated response capabilities for cloud (quarantine, disable access).
4. Verify SOC metrics cover cloud incidents.</t>
        </is>
      </c>
      <c r="G107" s="7" t="inlineStr">
        <is>
          <t>SOC tooling assessment; SOAR playbooks; Automated response config; SOC metrics</t>
        </is>
      </c>
      <c r="H107" s="7" t="inlineStr">
        <is>
          <t>Inspection</t>
        </is>
      </c>
      <c r="I107" s="7" t="inlineStr"/>
      <c r="J107" s="7" t="inlineStr"/>
      <c r="K107" s="7" t="inlineStr"/>
      <c r="L107" s="7" t="inlineStr"/>
      <c r="M107" s="7" t="inlineStr"/>
      <c r="N107" s="7" t="inlineStr"/>
    </row>
    <row r="108">
      <c r="A108" s="12" t="inlineStr">
        <is>
          <t>B14 — Cyber Response/Recovery</t>
        </is>
      </c>
      <c r="B108" s="13" t="n"/>
      <c r="C108" s="13" t="n"/>
      <c r="D108" s="13" t="n"/>
      <c r="E108" s="13" t="n"/>
      <c r="F108" s="13" t="n"/>
      <c r="G108" s="13" t="n"/>
      <c r="H108" s="13" t="n"/>
      <c r="I108" s="13" t="n"/>
      <c r="J108" s="13" t="n"/>
      <c r="K108" s="13" t="n"/>
      <c r="L108" s="13" t="n"/>
      <c r="M108" s="13" t="n"/>
      <c r="N108" s="13" t="n"/>
    </row>
    <row r="109">
      <c r="A109" s="14" t="inlineStr">
        <is>
          <t>Cloud cyber response and recovery requires cloud-specific procedures, tested recovery, and coordination with CSPs.</t>
        </is>
      </c>
      <c r="B109" s="15" t="n"/>
      <c r="C109" s="15" t="n"/>
      <c r="D109" s="15" t="n"/>
      <c r="E109" s="15" t="n"/>
      <c r="F109" s="15" t="n"/>
      <c r="G109" s="15" t="n"/>
      <c r="H109" s="15" t="n"/>
      <c r="I109" s="15" t="n"/>
      <c r="J109" s="15" t="n"/>
      <c r="K109" s="15" t="n"/>
      <c r="L109" s="15" t="n"/>
      <c r="M109" s="15" t="n"/>
      <c r="N109" s="15" t="n"/>
    </row>
    <row r="110">
      <c r="A110" s="16" t="inlineStr">
        <is>
          <t>App10-B14</t>
        </is>
      </c>
      <c r="B110" s="16" t="inlineStr">
        <is>
          <t>CLD-21</t>
        </is>
      </c>
      <c r="C110" s="16" t="inlineStr">
        <is>
          <t>PLATFORM</t>
        </is>
      </c>
      <c r="D110" s="16" t="inlineStr">
        <is>
          <t>Cyber Response/Recovery</t>
        </is>
      </c>
      <c r="E110" s="16" t="inlineStr">
        <is>
          <t>Cloud-specific cyber response, recovery procedures, and CSP coordination</t>
        </is>
      </c>
      <c r="F110" s="16" t="inlineStr"/>
      <c r="G110" s="16" t="inlineStr"/>
      <c r="H110" s="16" t="inlineStr"/>
      <c r="I110" s="16" t="inlineStr"/>
      <c r="J110" s="16" t="inlineStr"/>
      <c r="K110" s="16" t="inlineStr"/>
      <c r="L110" s="16" t="inlineStr"/>
      <c r="M110" s="17" t="inlineStr"/>
      <c r="N110" s="17" t="inlineStr"/>
    </row>
    <row r="111">
      <c r="A111" s="7" t="inlineStr">
        <is>
          <t>App10-B14(a)</t>
        </is>
      </c>
      <c r="B111" s="7" t="inlineStr">
        <is>
          <t>CLD-21.1</t>
        </is>
      </c>
      <c r="C111" s="7" t="inlineStr"/>
      <c r="D111" s="7" t="inlineStr"/>
      <c r="E111" s="7" t="inlineStr">
        <is>
          <t>Cloud cyber response plan</t>
        </is>
      </c>
      <c r="F111" s="7" t="inlineStr">
        <is>
          <t>1. Verify cyber response plan covers cloud environments.
2. Check cloud-specific scenarios (ransomware, data exfiltration, account takeover).
3. Confirm response plan tested.</t>
        </is>
      </c>
      <c r="G111" s="7" t="inlineStr">
        <is>
          <t>Cloud cyber response plan; Scenario coverage; Test records</t>
        </is>
      </c>
      <c r="H111" s="7" t="inlineStr">
        <is>
          <t>Inspection</t>
        </is>
      </c>
      <c r="I111" s="7" t="inlineStr"/>
      <c r="J111" s="7" t="inlineStr"/>
      <c r="K111" s="7" t="inlineStr"/>
      <c r="L111" s="7" t="inlineStr"/>
      <c r="M111" s="7" t="inlineStr"/>
      <c r="N111" s="7" t="inlineStr"/>
    </row>
    <row r="112">
      <c r="A112" s="7" t="inlineStr">
        <is>
          <t>App10-B14(b)</t>
        </is>
      </c>
      <c r="B112" s="7" t="inlineStr">
        <is>
          <t>CLD-21.2</t>
        </is>
      </c>
      <c r="C112" s="7" t="inlineStr"/>
      <c r="D112" s="7" t="inlineStr"/>
      <c r="E112" s="7" t="inlineStr">
        <is>
          <t>CSP coordination for incidents</t>
        </is>
      </c>
      <c r="F112" s="7" t="inlineStr">
        <is>
          <t>1. Verify CSP incident coordination procedures documented.
2. Check CSP security contact information current.
3. Confirm CSP notification SLAs understood.
4. Verify joint incident response tested.</t>
        </is>
      </c>
      <c r="G112" s="7" t="inlineStr">
        <is>
          <t>CSP coordination procedures; Contact information; Notification SLAs; Joint test records</t>
        </is>
      </c>
      <c r="H112" s="7" t="inlineStr">
        <is>
          <t>Inspection</t>
        </is>
      </c>
      <c r="I112" s="7" t="inlineStr"/>
      <c r="J112" s="7" t="inlineStr"/>
      <c r="K112" s="7" t="inlineStr"/>
      <c r="L112" s="7" t="inlineStr"/>
      <c r="M112" s="7" t="inlineStr"/>
      <c r="N112" s="7" t="inlineStr"/>
    </row>
    <row r="113">
      <c r="A113" s="7" t="inlineStr">
        <is>
          <t>App10-B14(c)</t>
        </is>
      </c>
      <c r="B113" s="7" t="inlineStr">
        <is>
          <t>CLD-21.3</t>
        </is>
      </c>
      <c r="C113" s="7" t="inlineStr"/>
      <c r="D113" s="7" t="inlineStr"/>
      <c r="E113" s="7" t="inlineStr">
        <is>
          <t>Cloud evidence preservation</t>
        </is>
      </c>
      <c r="F113" s="7" t="inlineStr">
        <is>
          <t>1. Verify evidence preservation procedures for cloud (snapshots, log exports).
2. Check evidence collection chain of custody.
3. Confirm evidence retained for required period.
4. Verify forensic readiness.</t>
        </is>
      </c>
      <c r="G113" s="7" t="inlineStr">
        <is>
          <t>Evidence preservation procedures; Chain of custody; Retention policy; Forensic readiness</t>
        </is>
      </c>
      <c r="H113" s="7" t="inlineStr">
        <is>
          <t>Inspection</t>
        </is>
      </c>
      <c r="I113" s="7" t="inlineStr"/>
      <c r="J113" s="7" t="inlineStr"/>
      <c r="K113" s="7" t="inlineStr"/>
      <c r="L113" s="7" t="inlineStr"/>
      <c r="M113" s="7" t="inlineStr"/>
      <c r="N113" s="7" t="inlineStr"/>
    </row>
    <row r="114">
      <c r="A114" s="7" t="inlineStr">
        <is>
          <t>App10-B14(d)</t>
        </is>
      </c>
      <c r="B114" s="7" t="inlineStr">
        <is>
          <t>CLD-21.4</t>
        </is>
      </c>
      <c r="C114" s="7" t="inlineStr"/>
      <c r="D114" s="7" t="inlineStr"/>
      <c r="E114" s="7" t="inlineStr">
        <is>
          <t>Recovery procedures</t>
        </is>
      </c>
      <c r="F114" s="7" t="inlineStr">
        <is>
          <t>1. Verify recovery procedures for cloud services.
2. Check recovery includes security validation before resuming services.
3. Confirm recovery tested.
4. Verify recovery communication plan.</t>
        </is>
      </c>
      <c r="G114" s="7" t="inlineStr">
        <is>
          <t>Recovery procedures; Security validation checklist; Recovery test results; Communication plan</t>
        </is>
      </c>
      <c r="H114" s="7" t="inlineStr">
        <is>
          <t>Inspection</t>
        </is>
      </c>
      <c r="I114" s="7" t="inlineStr"/>
      <c r="J114" s="7" t="inlineStr"/>
      <c r="K114" s="7" t="inlineStr"/>
      <c r="L114" s="7" t="inlineStr"/>
      <c r="M114" s="7" t="inlineStr"/>
      <c r="N114" s="7" t="inlineStr"/>
    </row>
    <row r="115">
      <c r="A115" s="7" t="inlineStr">
        <is>
          <t>App10-B14(e)</t>
        </is>
      </c>
      <c r="B115" s="7" t="inlineStr">
        <is>
          <t>CLD-21.5</t>
        </is>
      </c>
      <c r="C115" s="7" t="inlineStr"/>
      <c r="D115" s="7" t="inlineStr"/>
      <c r="E115" s="7" t="inlineStr">
        <is>
          <t>Post-incident review</t>
        </is>
      </c>
      <c r="F115" s="7" t="inlineStr">
        <is>
          <t>1. Verify post-incident review conducted for cloud incidents.
2. Check lessons learned documented.
3. Confirm improvements implemented.
4. Verify management reporting on incidents.</t>
        </is>
      </c>
      <c r="G115" s="7" t="inlineStr">
        <is>
          <t>Post-incident review reports; Lessons learned; Improvement tracker; Management reports</t>
        </is>
      </c>
      <c r="H115" s="7" t="inlineStr">
        <is>
          <t>Inspection</t>
        </is>
      </c>
      <c r="I115" s="7" t="inlineStr"/>
      <c r="J115" s="7" t="inlineStr"/>
      <c r="K115" s="7" t="inlineStr"/>
      <c r="L115" s="7" t="inlineStr"/>
      <c r="M115" s="7" t="inlineStr"/>
      <c r="N115" s="7" t="inlineStr"/>
    </row>
    <row r="116">
      <c r="A116" s="7" t="inlineStr">
        <is>
          <t>App10-B14(f)</t>
        </is>
      </c>
      <c r="B116" s="7" t="inlineStr">
        <is>
          <t>CLD-21.6</t>
        </is>
      </c>
      <c r="C116" s="7" t="inlineStr"/>
      <c r="D116" s="7" t="inlineStr"/>
      <c r="E116" s="7" t="inlineStr">
        <is>
          <t>Regulatory notification</t>
        </is>
      </c>
      <c r="F116" s="7" t="inlineStr">
        <is>
          <t>1. Verify regulatory notification procedures for cloud incidents.
2. Check notification timelines comply with BNM requirements.
3. Confirm notification process tested.
4. Verify notification templates prepared.</t>
        </is>
      </c>
      <c r="G116" s="7" t="inlineStr">
        <is>
          <t>Regulatory notification procedure; Timeline compliance; Test records; Notification templates</t>
        </is>
      </c>
      <c r="H116" s="7" t="inlineStr">
        <is>
          <t>Inspection</t>
        </is>
      </c>
      <c r="I116" s="7" t="inlineStr"/>
      <c r="J116" s="7" t="inlineStr"/>
      <c r="K116" s="7" t="inlineStr"/>
      <c r="L116" s="7" t="inlineStr"/>
      <c r="M116" s="7" t="inlineStr"/>
      <c r="N116" s="7" t="inlineStr"/>
    </row>
    <row r="117">
      <c r="A117" s="7" t="inlineStr">
        <is>
          <t>App10-B14(g)</t>
        </is>
      </c>
      <c r="B117" s="7" t="inlineStr">
        <is>
          <t>CLD-21.7</t>
        </is>
      </c>
      <c r="C117" s="7" t="inlineStr"/>
      <c r="D117" s="7" t="inlineStr"/>
      <c r="E117" s="7" t="inlineStr">
        <is>
          <t>Cyber insurance coverage</t>
        </is>
      </c>
      <c r="F117" s="7" t="inlineStr">
        <is>
          <t>1. Verify cyber insurance covers cloud-related incidents.
2. Check coverage adequacy relative to cloud exposure.
3. Confirm policy terms understood.
4. Verify claims process documented.</t>
        </is>
      </c>
      <c r="G117" s="7" t="inlineStr">
        <is>
          <t>Cyber insurance policy; Coverage assessment; Claims process documentation</t>
        </is>
      </c>
      <c r="H117" s="7" t="inlineStr">
        <is>
          <t>Inspection</t>
        </is>
      </c>
      <c r="I117" s="7" t="inlineStr"/>
      <c r="J117" s="7" t="inlineStr"/>
      <c r="K117" s="7" t="inlineStr"/>
      <c r="L117" s="7" t="inlineStr"/>
      <c r="M117" s="7" t="inlineStr"/>
      <c r="N117" s="7" t="inlineStr"/>
    </row>
  </sheetData>
  <mergeCells count="28">
    <mergeCell ref="A67:N67"/>
    <mergeCell ref="A31:N31"/>
    <mergeCell ref="A48:N48"/>
    <mergeCell ref="A30:N30"/>
    <mergeCell ref="A98:N98"/>
    <mergeCell ref="A73:N73"/>
    <mergeCell ref="A11:N11"/>
    <mergeCell ref="A103:N103"/>
    <mergeCell ref="A36:N36"/>
    <mergeCell ref="A94:N94"/>
    <mergeCell ref="A108:N108"/>
    <mergeCell ref="A99:N99"/>
    <mergeCell ref="A37:N37"/>
    <mergeCell ref="A66:N66"/>
    <mergeCell ref="A74:N74"/>
    <mergeCell ref="A56:N56"/>
    <mergeCell ref="A3:N3"/>
    <mergeCell ref="A55:N55"/>
    <mergeCell ref="A12:N12"/>
    <mergeCell ref="A21:N21"/>
    <mergeCell ref="A2:N2"/>
    <mergeCell ref="A86:N86"/>
    <mergeCell ref="A104:N104"/>
    <mergeCell ref="A85:N85"/>
    <mergeCell ref="A47:N47"/>
    <mergeCell ref="A109:N109"/>
    <mergeCell ref="A20:N20"/>
    <mergeCell ref="A93:N9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14" customWidth="1" min="1" max="1"/>
    <col width="10" customWidth="1" min="2" max="2"/>
    <col width="11" customWidth="1" min="3" max="3"/>
    <col width="22" customWidth="1" min="4" max="4"/>
    <col width="28" customWidth="1" min="5" max="5"/>
    <col width="50" customWidth="1" min="6" max="6"/>
    <col width="35" customWidth="1" min="7" max="7"/>
    <col width="14" customWidth="1" min="8" max="8"/>
    <col width="30" customWidth="1" min="9" max="9"/>
    <col width="25" customWidth="1" min="10" max="10"/>
    <col width="12" customWidth="1" min="11" max="11"/>
    <col width="30" customWidth="1" min="12" max="12"/>
    <col width="16" customWidth="1" min="13" max="13"/>
    <col width="30" customWidth="1" min="14" max="14"/>
  </cols>
  <sheetData>
    <row r="1">
      <c r="A1" s="11" t="inlineStr">
        <is>
          <t>BNM Ref</t>
        </is>
      </c>
      <c r="B1" s="11" t="inlineStr">
        <is>
          <t>Ref</t>
        </is>
      </c>
      <c r="C1" s="11" t="inlineStr">
        <is>
          <t>Level</t>
        </is>
      </c>
      <c r="D1" s="11" t="inlineStr">
        <is>
          <t>Control Domain</t>
        </is>
      </c>
      <c r="E1" s="11" t="inlineStr">
        <is>
          <t>Sub-Procedure</t>
        </is>
      </c>
      <c r="F1" s="11" t="inlineStr">
        <is>
          <t>Assessment Procedures</t>
        </is>
      </c>
      <c r="G1" s="11" t="inlineStr">
        <is>
          <t>Expected Evidence</t>
        </is>
      </c>
      <c r="H1" s="11" t="inlineStr">
        <is>
          <t>Method</t>
        </is>
      </c>
      <c r="I1" s="11" t="inlineStr">
        <is>
          <t>Procedures Performed</t>
        </is>
      </c>
      <c r="J1" s="11" t="inlineStr">
        <is>
          <t>Evidence Obtained</t>
        </is>
      </c>
      <c r="K1" s="11" t="inlineStr">
        <is>
          <t>Evidence Ref</t>
        </is>
      </c>
      <c r="L1" s="11" t="inlineStr">
        <is>
          <t>Observations</t>
        </is>
      </c>
      <c r="M1" s="11" t="inlineStr">
        <is>
          <t>Conclusion</t>
        </is>
      </c>
      <c r="N1" s="11" t="inlineStr">
        <is>
          <t>Recommendations</t>
        </is>
      </c>
    </row>
    <row r="2">
      <c r="A2" s="12" t="inlineStr">
        <is>
          <t>Item 1(a) — Access Control</t>
        </is>
      </c>
      <c r="B2" s="13" t="n"/>
      <c r="C2" s="13" t="n"/>
      <c r="D2" s="13" t="n"/>
      <c r="E2" s="13" t="n"/>
      <c r="F2" s="13" t="n"/>
      <c r="G2" s="13" t="n"/>
      <c r="H2" s="13" t="n"/>
      <c r="I2" s="13" t="n"/>
      <c r="J2" s="13" t="n"/>
      <c r="K2" s="13" t="n"/>
      <c r="L2" s="13" t="n"/>
      <c r="M2" s="13" t="n"/>
      <c r="N2" s="13" t="n"/>
    </row>
    <row r="3">
      <c r="A3" s="14" t="inlineStr">
        <is>
          <t>Access control is foundational — who can access what. Expect policy-driven provisioning, periodic reviews, PAM controls, timely revocation. Excessive access is the most common audit finding.</t>
        </is>
      </c>
      <c r="B3" s="15" t="n"/>
      <c r="C3" s="15" t="n"/>
      <c r="D3" s="15" t="n"/>
      <c r="E3" s="15" t="n"/>
      <c r="F3" s="15" t="n"/>
      <c r="G3" s="15" t="n"/>
      <c r="H3" s="15" t="n"/>
      <c r="I3" s="15" t="n"/>
      <c r="J3" s="15" t="n"/>
      <c r="K3" s="15" t="n"/>
      <c r="L3" s="15" t="n"/>
      <c r="M3" s="15" t="n"/>
      <c r="N3" s="15" t="n"/>
    </row>
    <row r="4">
      <c r="A4" s="16" t="inlineStr">
        <is>
          <t>App7-D1(a)</t>
        </is>
      </c>
      <c r="B4" s="16" t="inlineStr">
        <is>
          <t>PD-01</t>
        </is>
      </c>
      <c r="C4" s="16" t="inlineStr">
        <is>
          <t>ORG</t>
        </is>
      </c>
      <c r="D4" s="16" t="inlineStr">
        <is>
          <t>Access Control</t>
        </is>
      </c>
      <c r="E4" s="16" t="inlineStr">
        <is>
          <t>Access control policies, provisioning, privileged access, and periodic review</t>
        </is>
      </c>
      <c r="F4" s="16" t="inlineStr"/>
      <c r="G4" s="16" t="inlineStr"/>
      <c r="H4" s="16" t="inlineStr"/>
      <c r="I4" s="16" t="inlineStr"/>
      <c r="J4" s="16" t="inlineStr"/>
      <c r="K4" s="16" t="inlineStr"/>
      <c r="L4" s="16" t="inlineStr"/>
      <c r="M4" s="17" t="inlineStr"/>
      <c r="N4" s="17" t="inlineStr"/>
    </row>
    <row r="5">
      <c r="A5" s="7" t="inlineStr">
        <is>
          <t>App7-D1(a)(i)</t>
        </is>
      </c>
      <c r="B5" s="7" t="inlineStr">
        <is>
          <t>PD-01.1</t>
        </is>
      </c>
      <c r="C5" s="7" t="inlineStr"/>
      <c r="D5" s="7" t="inlineStr"/>
      <c r="E5" s="7" t="inlineStr">
        <is>
          <t>Access control policies and mechanisms</t>
        </is>
      </c>
      <c r="F5" s="7" t="inlineStr">
        <is>
          <t>1. Obtain the FI's access control policy and supporting standards.
2. Verify policy covers user registration, de-registration, access provisioning, and privilege management.
3. Sample 20 user accounts — verify access rights are consistent with job roles (least privilege).
4. Check that access reviews are performed periodically (quarterly for privileged, semi-annually for standard).
5. Verify access revocation upon termination — sample 10 recent leavers/transfers.</t>
        </is>
      </c>
      <c r="G5" s="7" t="inlineStr">
        <is>
          <t>Access control policy; User access provisioning records; Access review reports; HR leaver/transfer list vs. access revocation logs</t>
        </is>
      </c>
      <c r="H5" s="7" t="inlineStr">
        <is>
          <t>Inspection</t>
        </is>
      </c>
      <c r="I5" s="7" t="inlineStr"/>
      <c r="J5" s="7" t="inlineStr"/>
      <c r="K5" s="7" t="inlineStr"/>
      <c r="L5" s="7" t="inlineStr"/>
      <c r="M5" s="7" t="inlineStr"/>
      <c r="N5" s="7" t="inlineStr"/>
    </row>
    <row r="6">
      <c r="A6" s="7" t="inlineStr">
        <is>
          <t>App7-D1(a)(ii)</t>
        </is>
      </c>
      <c r="B6" s="7" t="inlineStr">
        <is>
          <t>PD-01.2</t>
        </is>
      </c>
      <c r="C6" s="7" t="inlineStr"/>
      <c r="D6" s="7" t="inlineStr"/>
      <c r="E6" s="7" t="inlineStr">
        <is>
          <t>Privileged access management</t>
        </is>
      </c>
      <c r="F6" s="7" t="inlineStr">
        <is>
          <t>1. Obtain the PAM policy or standard.
2. Obtain the list of all privileged accounts (system admin, DBA, root, domain admin).
3. Verify privileged accounts are individually assigned or vault-managed with session recording.
4. Check that privileged access is time-bound and subject to approval workflow.
5. Review privileged session logs for the past 3 months for anomalies.</t>
        </is>
      </c>
      <c r="G6" s="7" t="inlineStr">
        <is>
          <t>PAM policy; Privileged account inventory; PAM tool configuration and logs; Session recording samples</t>
        </is>
      </c>
      <c r="H6" s="7" t="inlineStr">
        <is>
          <t>Inspection</t>
        </is>
      </c>
      <c r="I6" s="7" t="inlineStr"/>
      <c r="J6" s="7" t="inlineStr"/>
      <c r="K6" s="7" t="inlineStr"/>
      <c r="L6" s="7" t="inlineStr"/>
      <c r="M6" s="7" t="inlineStr"/>
      <c r="N6" s="7" t="inlineStr"/>
    </row>
    <row r="7">
      <c r="A7" s="12" t="inlineStr">
        <is>
          <t>Item 1(b) — Physical and Environmental Security</t>
        </is>
      </c>
      <c r="B7" s="13" t="n"/>
      <c r="C7" s="13" t="n"/>
      <c r="D7" s="13" t="n"/>
      <c r="E7" s="13" t="n"/>
      <c r="F7" s="13" t="n"/>
      <c r="G7" s="13" t="n"/>
      <c r="H7" s="13" t="n"/>
      <c r="I7" s="13" t="n"/>
      <c r="J7" s="13" t="n"/>
      <c r="K7" s="13" t="n"/>
      <c r="L7" s="13" t="n"/>
      <c r="M7" s="13" t="n"/>
      <c r="N7" s="13" t="n"/>
    </row>
    <row r="8">
      <c r="A8" s="14" t="inlineStr">
        <is>
          <t>Physical controls protect technology assets from unauthorised access and environmental threats. Expect multi-layered access, CCTV, environmental monitoring. Physical compromise bypasses logical controls.</t>
        </is>
      </c>
      <c r="B8" s="15" t="n"/>
      <c r="C8" s="15" t="n"/>
      <c r="D8" s="15" t="n"/>
      <c r="E8" s="15" t="n"/>
      <c r="F8" s="15" t="n"/>
      <c r="G8" s="15" t="n"/>
      <c r="H8" s="15" t="n"/>
      <c r="I8" s="15" t="n"/>
      <c r="J8" s="15" t="n"/>
      <c r="K8" s="15" t="n"/>
      <c r="L8" s="15" t="n"/>
      <c r="M8" s="15" t="n"/>
      <c r="N8" s="15" t="n"/>
    </row>
    <row r="9">
      <c r="A9" s="16" t="inlineStr">
        <is>
          <t>App7-D1(b)</t>
        </is>
      </c>
      <c r="B9" s="16" t="inlineStr">
        <is>
          <t>PD-02</t>
        </is>
      </c>
      <c r="C9" s="16" t="inlineStr">
        <is>
          <t>ORG</t>
        </is>
      </c>
      <c r="D9" s="16" t="inlineStr">
        <is>
          <t>Physical Security</t>
        </is>
      </c>
      <c r="E9" s="16" t="inlineStr">
        <is>
          <t>Physical access controls and environmental protection for technology assets</t>
        </is>
      </c>
      <c r="F9" s="16" t="inlineStr"/>
      <c r="G9" s="16" t="inlineStr"/>
      <c r="H9" s="16" t="inlineStr"/>
      <c r="I9" s="16" t="inlineStr"/>
      <c r="J9" s="16" t="inlineStr"/>
      <c r="K9" s="16" t="inlineStr"/>
      <c r="L9" s="16" t="inlineStr"/>
      <c r="M9" s="17" t="inlineStr"/>
      <c r="N9" s="17" t="inlineStr"/>
    </row>
    <row r="10">
      <c r="A10" s="7" t="inlineStr">
        <is>
          <t>App7-D1(b)(i)</t>
        </is>
      </c>
      <c r="B10" s="7" t="inlineStr">
        <is>
          <t>PD-02.1</t>
        </is>
      </c>
      <c r="C10" s="7" t="inlineStr"/>
      <c r="D10" s="7" t="inlineStr"/>
      <c r="E10" s="7" t="inlineStr">
        <is>
          <t>Physical security controls</t>
        </is>
      </c>
      <c r="F10" s="7" t="inlineStr">
        <is>
          <t>1. Identify all sensitive areas (data centres, server rooms, network rooms).
2. Verify multi-layered physical access controls (badge, biometric, PIN).
3. Review visitor management procedures.
4. Verify CCTV coverage with minimum 90-day retention.
5. Sample-check physical access logs against approved access lists.</t>
        </is>
      </c>
      <c r="G10" s="7" t="inlineStr">
        <is>
          <t>Physical security policy; Access control system config; Visitor logs; CCTV coverage map; Physical access log reconciliation</t>
        </is>
      </c>
      <c r="H10" s="7" t="inlineStr">
        <is>
          <t>Inspection / Observation</t>
        </is>
      </c>
      <c r="I10" s="7" t="inlineStr"/>
      <c r="J10" s="7" t="inlineStr"/>
      <c r="K10" s="7" t="inlineStr"/>
      <c r="L10" s="7" t="inlineStr"/>
      <c r="M10" s="7" t="inlineStr"/>
      <c r="N10" s="7" t="inlineStr"/>
    </row>
    <row r="11">
      <c r="A11" s="7" t="inlineStr">
        <is>
          <t>App7-D1(b)(ii)</t>
        </is>
      </c>
      <c r="B11" s="7" t="inlineStr">
        <is>
          <t>PD-02.2</t>
        </is>
      </c>
      <c r="C11" s="7" t="inlineStr"/>
      <c r="D11" s="7" t="inlineStr"/>
      <c r="E11" s="7" t="inlineStr">
        <is>
          <t>Environmental controls</t>
        </is>
      </c>
      <c r="F11" s="7" t="inlineStr">
        <is>
          <t>1. Verify fire detection and suppression systems are current on inspections.
2. Check water leak detection.
3. Verify temperature and humidity monitoring with alerts.
4. Confirm environmental incident response procedures are tested.</t>
        </is>
      </c>
      <c r="G11" s="7" t="inlineStr">
        <is>
          <t>Fire system inspection certificates; Water leak detection layout; Environmental monitoring dashboards; Incident response test records</t>
        </is>
      </c>
      <c r="H11" s="7" t="inlineStr">
        <is>
          <t>Inspection / Observation</t>
        </is>
      </c>
      <c r="I11" s="7" t="inlineStr"/>
      <c r="J11" s="7" t="inlineStr"/>
      <c r="K11" s="7" t="inlineStr"/>
      <c r="L11" s="7" t="inlineStr"/>
      <c r="M11" s="7" t="inlineStr"/>
      <c r="N11" s="7" t="inlineStr"/>
    </row>
    <row r="12">
      <c r="A12" s="12" t="inlineStr">
        <is>
          <t>Item 1(c) — Operations Security</t>
        </is>
      </c>
      <c r="B12" s="13" t="n"/>
      <c r="C12" s="13" t="n"/>
      <c r="D12" s="13" t="n"/>
      <c r="E12" s="13" t="n"/>
      <c r="F12" s="13" t="n"/>
      <c r="G12" s="13" t="n"/>
      <c r="H12" s="13" t="n"/>
      <c r="I12" s="13" t="n"/>
      <c r="J12" s="13" t="n"/>
      <c r="K12" s="13" t="n"/>
      <c r="L12" s="13" t="n"/>
      <c r="M12" s="13" t="n"/>
      <c r="N12" s="13" t="n"/>
    </row>
    <row r="13">
      <c r="A13" s="14" t="inlineStr">
        <is>
          <t>Operational controls ensure systems are managed securely. Expect documented procedures, controlled changes, tested backups, malware protection, vulnerability management. Operational failures cause avoidable incidents.</t>
        </is>
      </c>
      <c r="B13" s="15" t="n"/>
      <c r="C13" s="15" t="n"/>
      <c r="D13" s="15" t="n"/>
      <c r="E13" s="15" t="n"/>
      <c r="F13" s="15" t="n"/>
      <c r="G13" s="15" t="n"/>
      <c r="H13" s="15" t="n"/>
      <c r="I13" s="15" t="n"/>
      <c r="J13" s="15" t="n"/>
      <c r="K13" s="15" t="n"/>
      <c r="L13" s="15" t="n"/>
      <c r="M13" s="15" t="n"/>
      <c r="N13" s="15" t="n"/>
    </row>
    <row r="14">
      <c r="A14" s="16" t="inlineStr">
        <is>
          <t>App7-D1(c)</t>
        </is>
      </c>
      <c r="B14" s="16" t="inlineStr">
        <is>
          <t>PD-03</t>
        </is>
      </c>
      <c r="C14" s="16" t="inlineStr">
        <is>
          <t>ORG</t>
        </is>
      </c>
      <c r="D14" s="16" t="inlineStr">
        <is>
          <t>Operations Security</t>
        </is>
      </c>
      <c r="E14" s="16" t="inlineStr">
        <is>
          <t>Operational procedures, change management, backup, malware protection, and vulnerability management</t>
        </is>
      </c>
      <c r="F14" s="16" t="inlineStr"/>
      <c r="G14" s="16" t="inlineStr"/>
      <c r="H14" s="16" t="inlineStr"/>
      <c r="I14" s="16" t="inlineStr"/>
      <c r="J14" s="16" t="inlineStr"/>
      <c r="K14" s="16" t="inlineStr"/>
      <c r="L14" s="16" t="inlineStr"/>
      <c r="M14" s="17" t="inlineStr"/>
      <c r="N14" s="17" t="inlineStr"/>
    </row>
    <row r="15">
      <c r="A15" s="7" t="inlineStr">
        <is>
          <t>App7-D1(c)(i)</t>
        </is>
      </c>
      <c r="B15" s="7" t="inlineStr">
        <is>
          <t>PD-03.1</t>
        </is>
      </c>
      <c r="C15" s="7" t="inlineStr"/>
      <c r="D15" s="7" t="inlineStr"/>
      <c r="E15" s="7" t="inlineStr">
        <is>
          <t>Operational procedures and controls</t>
        </is>
      </c>
      <c r="F15" s="7" t="inlineStr">
        <is>
          <t>1. Obtain documented operating procedures (change mgmt, capacity mgmt, backup, malware protection).
2. Verify change management — sample 10 changes with full lifecycle.
3. Verify backup procedures — confirm critical systems backed up and restore tested.
4. Verify anti-malware deployed with current signatures.</t>
        </is>
      </c>
      <c r="G15" s="7" t="inlineStr">
        <is>
          <t>Operating procedures; 10 sampled change records; Backup schedule and restore test results; Anti-malware deployment reports</t>
        </is>
      </c>
      <c r="H15" s="7" t="inlineStr">
        <is>
          <t>Inspection</t>
        </is>
      </c>
      <c r="I15" s="7" t="inlineStr"/>
      <c r="J15" s="7" t="inlineStr"/>
      <c r="K15" s="7" t="inlineStr"/>
      <c r="L15" s="7" t="inlineStr"/>
      <c r="M15" s="7" t="inlineStr"/>
      <c r="N15" s="7" t="inlineStr"/>
    </row>
    <row r="16">
      <c r="A16" s="7" t="inlineStr">
        <is>
          <t>App7-D1(c)(ii)</t>
        </is>
      </c>
      <c r="B16" s="7" t="inlineStr">
        <is>
          <t>PD-03.2</t>
        </is>
      </c>
      <c r="C16" s="7" t="inlineStr"/>
      <c r="D16" s="7" t="inlineStr"/>
      <c r="E16" s="7" t="inlineStr">
        <is>
          <t>Vulnerability management and patching</t>
        </is>
      </c>
      <c r="F16" s="7" t="inlineStr">
        <is>
          <t>1. Obtain vulnerability management policy and patching SLAs.
2. Review most recent vulnerability scan results.
3. Check patch compliance rates.
4. Verify exceptions are formally risk-accepted.</t>
        </is>
      </c>
      <c r="G16" s="7" t="inlineStr">
        <is>
          <t>Vulnerability management policy; Scan reports; Patch compliance dashboard; Risk acceptance records</t>
        </is>
      </c>
      <c r="H16" s="7" t="inlineStr">
        <is>
          <t>Inspection</t>
        </is>
      </c>
      <c r="I16" s="7" t="inlineStr"/>
      <c r="J16" s="7" t="inlineStr"/>
      <c r="K16" s="7" t="inlineStr"/>
      <c r="L16" s="7" t="inlineStr"/>
      <c r="M16" s="7" t="inlineStr"/>
      <c r="N16" s="7" t="inlineStr"/>
    </row>
    <row r="17">
      <c r="A17" s="12" t="inlineStr">
        <is>
          <t>Item 1(d) — Communications Security</t>
        </is>
      </c>
      <c r="B17" s="13" t="n"/>
      <c r="C17" s="13" t="n"/>
      <c r="D17" s="13" t="n"/>
      <c r="E17" s="13" t="n"/>
      <c r="F17" s="13" t="n"/>
      <c r="G17" s="13" t="n"/>
      <c r="H17" s="13" t="n"/>
      <c r="I17" s="13" t="n"/>
      <c r="J17" s="13" t="n"/>
      <c r="K17" s="13" t="n"/>
      <c r="L17" s="13" t="n"/>
      <c r="M17" s="13" t="n"/>
      <c r="N17" s="13" t="n"/>
    </row>
    <row r="18">
      <c r="A18" s="14" t="inlineStr">
        <is>
          <t>Network controls protect data in transit and network integrity. Expect segmentation, least-privilege firewall rules, encryption, IDS/IPS. Network compromise provides access to all connected systems.</t>
        </is>
      </c>
      <c r="B18" s="15" t="n"/>
      <c r="C18" s="15" t="n"/>
      <c r="D18" s="15" t="n"/>
      <c r="E18" s="15" t="n"/>
      <c r="F18" s="15" t="n"/>
      <c r="G18" s="15" t="n"/>
      <c r="H18" s="15" t="n"/>
      <c r="I18" s="15" t="n"/>
      <c r="J18" s="15" t="n"/>
      <c r="K18" s="15" t="n"/>
      <c r="L18" s="15" t="n"/>
      <c r="M18" s="15" t="n"/>
      <c r="N18" s="15" t="n"/>
    </row>
    <row r="19">
      <c r="A19" s="16" t="inlineStr">
        <is>
          <t>App7-D1(d)</t>
        </is>
      </c>
      <c r="B19" s="16" t="inlineStr">
        <is>
          <t>PD-04</t>
        </is>
      </c>
      <c r="C19" s="16" t="inlineStr">
        <is>
          <t>ORG</t>
        </is>
      </c>
      <c r="D19" s="16" t="inlineStr">
        <is>
          <t>Communications Security</t>
        </is>
      </c>
      <c r="E19" s="16" t="inlineStr">
        <is>
          <t>Network security, segmentation, encryption of data in transit, and intrusion detection</t>
        </is>
      </c>
      <c r="F19" s="16" t="inlineStr"/>
      <c r="G19" s="16" t="inlineStr"/>
      <c r="H19" s="16" t="inlineStr"/>
      <c r="I19" s="16" t="inlineStr"/>
      <c r="J19" s="16" t="inlineStr"/>
      <c r="K19" s="16" t="inlineStr"/>
      <c r="L19" s="16" t="inlineStr"/>
      <c r="M19" s="17" t="inlineStr"/>
      <c r="N19" s="17" t="inlineStr"/>
    </row>
    <row r="20">
      <c r="A20" s="7" t="inlineStr">
        <is>
          <t>App7-D1(d)(i)</t>
        </is>
      </c>
      <c r="B20" s="7" t="inlineStr">
        <is>
          <t>PD-04.1</t>
        </is>
      </c>
      <c r="C20" s="7" t="inlineStr"/>
      <c r="D20" s="7" t="inlineStr"/>
      <c r="E20" s="7" t="inlineStr">
        <is>
          <t>Network security and secure communications</t>
        </is>
      </c>
      <c r="F20" s="7" t="inlineStr">
        <is>
          <t>1. Review network segmentation.
2. Verify firewall rules — sample 20 rules for least-privilege.
3. Confirm encryption of data in transit (TLS 1.2+).
4. Verify secure configuration of email, messaging, file transfer.
5. Check IDS/IPS deployed at critical boundaries.</t>
        </is>
      </c>
      <c r="G20" s="7" t="inlineStr">
        <is>
          <t>Network architecture diagram; Firewall rule base sample; TLS configuration; IDS/IPS deployment and alert records</t>
        </is>
      </c>
      <c r="H20" s="7" t="inlineStr">
        <is>
          <t>Inspection</t>
        </is>
      </c>
      <c r="I20" s="7" t="inlineStr"/>
      <c r="J20" s="7" t="inlineStr"/>
      <c r="K20" s="7" t="inlineStr"/>
      <c r="L20" s="7" t="inlineStr"/>
      <c r="M20" s="7" t="inlineStr"/>
      <c r="N20" s="7" t="inlineStr"/>
    </row>
    <row r="21">
      <c r="A21" s="12" t="inlineStr">
        <is>
          <t>Item 1(e) — Incident Management</t>
        </is>
      </c>
      <c r="B21" s="13" t="n"/>
      <c r="C21" s="13" t="n"/>
      <c r="D21" s="13" t="n"/>
      <c r="E21" s="13" t="n"/>
      <c r="F21" s="13" t="n"/>
      <c r="G21" s="13" t="n"/>
      <c r="H21" s="13" t="n"/>
      <c r="I21" s="13" t="n"/>
      <c r="J21" s="13" t="n"/>
      <c r="K21" s="13" t="n"/>
      <c r="L21" s="13" t="n"/>
      <c r="M21" s="13" t="n"/>
      <c r="N21" s="13" t="n"/>
    </row>
    <row r="22">
      <c r="A22" s="14" t="inlineStr">
        <is>
          <t>Incident management ensures timely detection, response, and recovery. Expect 24/7 SOC, SIEM, IR playbooks, annual exercises. Without incident management, breaches escalate unchecked.</t>
        </is>
      </c>
      <c r="B22" s="15" t="n"/>
      <c r="C22" s="15" t="n"/>
      <c r="D22" s="15" t="n"/>
      <c r="E22" s="15" t="n"/>
      <c r="F22" s="15" t="n"/>
      <c r="G22" s="15" t="n"/>
      <c r="H22" s="15" t="n"/>
      <c r="I22" s="15" t="n"/>
      <c r="J22" s="15" t="n"/>
      <c r="K22" s="15" t="n"/>
      <c r="L22" s="15" t="n"/>
      <c r="M22" s="15" t="n"/>
      <c r="N22" s="15" t="n"/>
    </row>
    <row r="23">
      <c r="A23" s="16" t="inlineStr">
        <is>
          <t>App7-D1(e)</t>
        </is>
      </c>
      <c r="B23" s="16" t="inlineStr">
        <is>
          <t>PD-05</t>
        </is>
      </c>
      <c r="C23" s="16" t="inlineStr">
        <is>
          <t>ORG</t>
        </is>
      </c>
      <c r="D23" s="16" t="inlineStr">
        <is>
          <t>Incident Management</t>
        </is>
      </c>
      <c r="E23" s="16" t="inlineStr">
        <is>
          <t>Incident detection, classification, response, RCA, and regulatory notification</t>
        </is>
      </c>
      <c r="F23" s="16" t="inlineStr"/>
      <c r="G23" s="16" t="inlineStr"/>
      <c r="H23" s="16" t="inlineStr"/>
      <c r="I23" s="16" t="inlineStr"/>
      <c r="J23" s="16" t="inlineStr"/>
      <c r="K23" s="16" t="inlineStr"/>
      <c r="L23" s="16" t="inlineStr"/>
      <c r="M23" s="17" t="inlineStr"/>
      <c r="N23" s="17" t="inlineStr"/>
    </row>
    <row r="24">
      <c r="A24" s="7" t="inlineStr">
        <is>
          <t>App7-D1(e)(i)</t>
        </is>
      </c>
      <c r="B24" s="7" t="inlineStr">
        <is>
          <t>PD-05.1</t>
        </is>
      </c>
      <c r="C24" s="7" t="inlineStr"/>
      <c r="D24" s="7" t="inlineStr"/>
      <c r="E24" s="7" t="inlineStr">
        <is>
          <t>Incident management framework</t>
        </is>
      </c>
      <c r="F24" s="7" t="inlineStr">
        <is>
          <t>1. Obtain incident management policy and procedures.
2. Verify incident classification scheme.
3. Review incident log for past 12 months.
4. Verify RCA for significant incidents with corrective actions.
5. Confirm regulatory notification procedures.</t>
        </is>
      </c>
      <c r="G24" s="7" t="inlineStr">
        <is>
          <t>Incident management policy; Classification matrix; Incident log (12 months); RCA reports; Regulatory notification records</t>
        </is>
      </c>
      <c r="H24" s="7" t="inlineStr">
        <is>
          <t>Inspection</t>
        </is>
      </c>
      <c r="I24" s="7" t="inlineStr"/>
      <c r="J24" s="7" t="inlineStr"/>
      <c r="K24" s="7" t="inlineStr"/>
      <c r="L24" s="7" t="inlineStr"/>
      <c r="M24" s="7" t="inlineStr"/>
      <c r="N24" s="7" t="inlineStr"/>
    </row>
    <row r="25">
      <c r="A25" s="7" t="inlineStr">
        <is>
          <t>App7-D1(e)(ii)</t>
        </is>
      </c>
      <c r="B25" s="7" t="inlineStr">
        <is>
          <t>PD-05.2</t>
        </is>
      </c>
      <c r="C25" s="7" t="inlineStr"/>
      <c r="D25" s="7" t="inlineStr"/>
      <c r="E25" s="7" t="inlineStr">
        <is>
          <t>Detection and response capabilities</t>
        </is>
      </c>
      <c r="F25" s="7" t="inlineStr">
        <is>
          <t>1. Confirm SOC operates 24/7.
2. Verify SIEM deployment with critical log sources.
3. Sample 15 alerts — verify triage.
4. Confirm IR playbooks for common scenarios.
5. Verify annual IR drills/tabletop exercises.</t>
        </is>
      </c>
      <c r="G25" s="7" t="inlineStr">
        <is>
          <t>SOC operational documentation; SIEM log source inventory; 15 sampled alert records; IR playbooks; Drill/tabletop reports</t>
        </is>
      </c>
      <c r="H25" s="7" t="inlineStr">
        <is>
          <t>Inspection / Inquiry</t>
        </is>
      </c>
      <c r="I25" s="7" t="inlineStr"/>
      <c r="J25" s="7" t="inlineStr"/>
      <c r="K25" s="7" t="inlineStr"/>
      <c r="L25" s="7" t="inlineStr"/>
      <c r="M25" s="7" t="inlineStr"/>
      <c r="N25" s="7" t="inlineStr"/>
    </row>
    <row r="26">
      <c r="A26" s="12" t="inlineStr">
        <is>
          <t>Item 1(f) — Business Continuity</t>
        </is>
      </c>
      <c r="B26" s="13" t="n"/>
      <c r="C26" s="13" t="n"/>
      <c r="D26" s="13" t="n"/>
      <c r="E26" s="13" t="n"/>
      <c r="F26" s="13" t="n"/>
      <c r="G26" s="13" t="n"/>
      <c r="H26" s="13" t="n"/>
      <c r="I26" s="13" t="n"/>
      <c r="J26" s="13" t="n"/>
      <c r="K26" s="13" t="n"/>
      <c r="L26" s="13" t="n"/>
      <c r="M26" s="13" t="n"/>
      <c r="N26" s="13" t="n"/>
    </row>
    <row r="27">
      <c r="A27" s="14" t="inlineStr">
        <is>
          <t>Business continuity ensures operations continue during disruptions. Expect BCP/DRP with cyber scenarios, tested DR including security controls, redundant security infrastructure. Untested DR fails when needed.</t>
        </is>
      </c>
      <c r="B27" s="15" t="n"/>
      <c r="C27" s="15" t="n"/>
      <c r="D27" s="15" t="n"/>
      <c r="E27" s="15" t="n"/>
      <c r="F27" s="15" t="n"/>
      <c r="G27" s="15" t="n"/>
      <c r="H27" s="15" t="n"/>
      <c r="I27" s="15" t="n"/>
      <c r="J27" s="15" t="n"/>
      <c r="K27" s="15" t="n"/>
      <c r="L27" s="15" t="n"/>
      <c r="M27" s="15" t="n"/>
      <c r="N27" s="15" t="n"/>
    </row>
    <row r="28">
      <c r="A28" s="16" t="inlineStr">
        <is>
          <t>App7-D1(f)</t>
        </is>
      </c>
      <c r="B28" s="16" t="inlineStr">
        <is>
          <t>PD-06</t>
        </is>
      </c>
      <c r="C28" s="16" t="inlineStr">
        <is>
          <t>ORG</t>
        </is>
      </c>
      <c r="D28" s="16" t="inlineStr">
        <is>
          <t>Business Continuity</t>
        </is>
      </c>
      <c r="E28" s="16" t="inlineStr">
        <is>
          <t>Security in BCP/DRP, DR testing with security controls, and redundancy of security infrastructure</t>
        </is>
      </c>
      <c r="F28" s="16" t="inlineStr"/>
      <c r="G28" s="16" t="inlineStr"/>
      <c r="H28" s="16" t="inlineStr"/>
      <c r="I28" s="16" t="inlineStr"/>
      <c r="J28" s="16" t="inlineStr"/>
      <c r="K28" s="16" t="inlineStr"/>
      <c r="L28" s="16" t="inlineStr"/>
      <c r="M28" s="17" t="inlineStr"/>
      <c r="N28" s="17" t="inlineStr"/>
    </row>
    <row r="29">
      <c r="A29" s="7" t="inlineStr">
        <is>
          <t>App7-D1(f)(i)</t>
        </is>
      </c>
      <c r="B29" s="7" t="inlineStr">
        <is>
          <t>PD-06.1</t>
        </is>
      </c>
      <c r="C29" s="7" t="inlineStr"/>
      <c r="D29" s="7" t="inlineStr"/>
      <c r="E29" s="7" t="inlineStr">
        <is>
          <t>Security in BCP/DRP</t>
        </is>
      </c>
      <c r="F29" s="7" t="inlineStr">
        <is>
          <t>1. Obtain BCP and IT DRP.
2. Verify security requirements addressed in BCP/DRP.
3. Check BCP/DRP includes cyber incident scenarios.
4. Verify recovery procedures include security validation.</t>
        </is>
      </c>
      <c r="G29" s="7" t="inlineStr">
        <is>
          <t>BCP and IT DRP; Security requirements in BCP/DRP; Cyber incident scenarios; Recovery security validation checklists</t>
        </is>
      </c>
      <c r="H29" s="7" t="inlineStr">
        <is>
          <t>Inspection</t>
        </is>
      </c>
      <c r="I29" s="7" t="inlineStr"/>
      <c r="J29" s="7" t="inlineStr"/>
      <c r="K29" s="7" t="inlineStr"/>
      <c r="L29" s="7" t="inlineStr"/>
      <c r="M29" s="7" t="inlineStr"/>
      <c r="N29" s="7" t="inlineStr"/>
    </row>
    <row r="30">
      <c r="A30" s="7" t="inlineStr">
        <is>
          <t>App7-D1(f)(ii)</t>
        </is>
      </c>
      <c r="B30" s="7" t="inlineStr">
        <is>
          <t>PD-06.2</t>
        </is>
      </c>
      <c r="C30" s="7" t="inlineStr"/>
      <c r="D30" s="7" t="inlineStr"/>
      <c r="E30" s="7" t="inlineStr">
        <is>
          <t>BCP/DRP testing with security controls</t>
        </is>
      </c>
      <c r="F30" s="7" t="inlineStr">
        <is>
          <t>1. Review most recent BCP/DRP test.
2. Verify security controls tested during DR exercise.
3. Confirm security findings remediated.
4. Verify DR site maintains equivalent security posture.</t>
        </is>
      </c>
      <c r="G30" s="7" t="inlineStr">
        <is>
          <t>BCP/DRP test plan and results; Security test components; DR site security assessment; Remediation tracker</t>
        </is>
      </c>
      <c r="H30" s="7" t="inlineStr">
        <is>
          <t>Inspection</t>
        </is>
      </c>
      <c r="I30" s="7" t="inlineStr"/>
      <c r="J30" s="7" t="inlineStr"/>
      <c r="K30" s="7" t="inlineStr"/>
      <c r="L30" s="7" t="inlineStr"/>
      <c r="M30" s="7" t="inlineStr"/>
      <c r="N30" s="7" t="inlineStr"/>
    </row>
    <row r="31">
      <c r="A31" s="7" t="inlineStr">
        <is>
          <t>App7-D1(f)(iii)</t>
        </is>
      </c>
      <c r="B31" s="7" t="inlineStr">
        <is>
          <t>PD-06.3</t>
        </is>
      </c>
      <c r="C31" s="7" t="inlineStr"/>
      <c r="D31" s="7" t="inlineStr"/>
      <c r="E31" s="7" t="inlineStr">
        <is>
          <t>Redundancy of security infrastructure</t>
        </is>
      </c>
      <c r="F31" s="7" t="inlineStr">
        <is>
          <t>1. Identify critical security infrastructure and verify HA configuration.
2. Confirm failover tested.
3. Verify monitoring continues during DR.
4. Check licenses valid at DR site.</t>
        </is>
      </c>
      <c r="G31" s="7" t="inlineStr">
        <is>
          <t>Security infrastructure HA architecture; Failover test records; DR monitoring evidence; License/subscription records</t>
        </is>
      </c>
      <c r="H31" s="7" t="inlineStr">
        <is>
          <t>Inspection</t>
        </is>
      </c>
      <c r="I31" s="7" t="inlineStr"/>
      <c r="J31" s="7" t="inlineStr"/>
      <c r="K31" s="7" t="inlineStr"/>
      <c r="L31" s="7" t="inlineStr"/>
      <c r="M31" s="7" t="inlineStr"/>
      <c r="N31" s="7" t="inlineStr"/>
    </row>
    <row r="32">
      <c r="A32" s="12" t="inlineStr">
        <is>
          <t>Item 2(a) — Customer Identity Authentication</t>
        </is>
      </c>
      <c r="B32" s="13" t="n"/>
      <c r="C32" s="13" t="n"/>
      <c r="D32" s="13" t="n"/>
      <c r="E32" s="13" t="n"/>
      <c r="F32" s="13" t="n"/>
      <c r="G32" s="13" t="n"/>
      <c r="H32" s="13" t="n"/>
      <c r="I32" s="13" t="n"/>
      <c r="J32" s="13" t="n"/>
      <c r="K32" s="13" t="n"/>
      <c r="L32" s="13" t="n"/>
      <c r="M32" s="13" t="n"/>
      <c r="N32" s="13" t="n"/>
    </row>
    <row r="33">
      <c r="A33" s="14" t="inlineStr">
        <is>
          <t>Customer authentication protects online services from unauthorised access. Expect MFA, secure sessions, strong cryptography, anti-session-fixation. Weak authentication directly exposes customers.</t>
        </is>
      </c>
      <c r="B33" s="15" t="n"/>
      <c r="C33" s="15" t="n"/>
      <c r="D33" s="15" t="n"/>
      <c r="E33" s="15" t="n"/>
      <c r="F33" s="15" t="n"/>
      <c r="G33" s="15" t="n"/>
      <c r="H33" s="15" t="n"/>
      <c r="I33" s="15" t="n"/>
      <c r="J33" s="15" t="n"/>
      <c r="K33" s="15" t="n"/>
      <c r="L33" s="15" t="n"/>
      <c r="M33" s="15" t="n"/>
      <c r="N33" s="15" t="n"/>
    </row>
    <row r="34">
      <c r="A34" s="16" t="inlineStr">
        <is>
          <t>App7-D2(a)</t>
        </is>
      </c>
      <c r="B34" s="16" t="inlineStr">
        <is>
          <t>PD-07</t>
        </is>
      </c>
      <c r="C34" s="16" t="inlineStr">
        <is>
          <t>WORKLOAD</t>
        </is>
      </c>
      <c r="D34" s="16" t="inlineStr">
        <is>
          <t>Customer Authentication</t>
        </is>
      </c>
      <c r="E34" s="16" t="inlineStr">
        <is>
          <t>Session protection, MFA, credential storage, and cryptographic implementation</t>
        </is>
      </c>
      <c r="F34" s="16" t="inlineStr"/>
      <c r="G34" s="16" t="inlineStr"/>
      <c r="H34" s="16" t="inlineStr"/>
      <c r="I34" s="16" t="inlineStr"/>
      <c r="J34" s="16" t="inlineStr"/>
      <c r="K34" s="16" t="inlineStr"/>
      <c r="L34" s="16" t="inlineStr"/>
      <c r="M34" s="17" t="inlineStr"/>
      <c r="N34" s="17" t="inlineStr"/>
    </row>
    <row r="35">
      <c r="A35" s="7" t="inlineStr">
        <is>
          <t>App7-D2(a)(i)</t>
        </is>
      </c>
      <c r="B35" s="7" t="inlineStr">
        <is>
          <t>PD-07.1</t>
        </is>
      </c>
      <c r="C35" s="7" t="inlineStr"/>
      <c r="D35" s="7" t="inlineStr"/>
      <c r="E35" s="7" t="inlineStr">
        <is>
          <t>Session and MITM protection</t>
        </is>
      </c>
      <c r="F35" s="7" t="inlineStr">
        <is>
          <t>1. Review session management controls.
2. Verify TLS 1.2+, HSTS, certificate validity.
3. Confirm session tokens are cryptographically random with proper expiry.
4. Check anti-session-fixation controls.
5. Verify certificate pinning for mobile apps.</t>
        </is>
      </c>
      <c r="G35" s="7" t="inlineStr">
        <is>
          <t>TLS scan results; Session management config; Application security assessment; Mobile cert pinning evidence</t>
        </is>
      </c>
      <c r="H35" s="7" t="inlineStr">
        <is>
          <t>Inspection</t>
        </is>
      </c>
      <c r="I35" s="7" t="inlineStr"/>
      <c r="J35" s="7" t="inlineStr"/>
      <c r="K35" s="7" t="inlineStr"/>
      <c r="L35" s="7" t="inlineStr"/>
      <c r="M35" s="7" t="inlineStr"/>
      <c r="N35" s="7" t="inlineStr"/>
    </row>
    <row r="36">
      <c r="A36" s="7" t="inlineStr">
        <is>
          <t>App7-D2(a)(ii)</t>
        </is>
      </c>
      <c r="B36" s="7" t="inlineStr">
        <is>
          <t>PD-07.2</t>
        </is>
      </c>
      <c r="C36" s="7" t="inlineStr"/>
      <c r="D36" s="7" t="inlineStr"/>
      <c r="E36" s="7" t="inlineStr">
        <is>
          <t>Internal controls for online systems</t>
        </is>
      </c>
      <c r="F36" s="7" t="inlineStr">
        <is>
          <t>1. Verify application hardening.
2. Review app security testing results (SAST, DAST, pen test).
3. Confirm database security controls.
4. Check segmentation from corporate network.</t>
        </is>
      </c>
      <c r="G36" s="7" t="inlineStr">
        <is>
          <t>Hardening standards; App security test reports; Database security config; Network segmentation evidence</t>
        </is>
      </c>
      <c r="H36" s="7" t="inlineStr">
        <is>
          <t>Inspection</t>
        </is>
      </c>
      <c r="I36" s="7" t="inlineStr"/>
      <c r="J36" s="7" t="inlineStr"/>
      <c r="K36" s="7" t="inlineStr"/>
      <c r="L36" s="7" t="inlineStr"/>
      <c r="M36" s="7" t="inlineStr"/>
      <c r="N36" s="7" t="inlineStr"/>
    </row>
    <row r="37">
      <c r="A37" s="7" t="inlineStr">
        <is>
          <t>App7-D2(a)(iii)</t>
        </is>
      </c>
      <c r="B37" s="7" t="inlineStr">
        <is>
          <t>PD-07.3</t>
        </is>
      </c>
      <c r="C37" s="7" t="inlineStr"/>
      <c r="D37" s="7" t="inlineStr"/>
      <c r="E37" s="7" t="inlineStr">
        <is>
          <t>Multi-level authentication</t>
        </is>
      </c>
      <c r="F37" s="7" t="inlineStr">
        <is>
          <t>1. Review authentication architecture.
2. Verify MFA for login and high-risk transactions.
3. Check out-of-band authentication mechanisms.
4. Verify real-time verification for high-value transactions.
5. Assess authentication strength relative to transaction risk.</t>
        </is>
      </c>
      <c r="G37" s="7" t="inlineStr">
        <is>
          <t>Authentication architecture; MFA config; OTP/out-of-band mechanism; Risk-based authentication rules</t>
        </is>
      </c>
      <c r="H37" s="7" t="inlineStr">
        <is>
          <t>Inspection</t>
        </is>
      </c>
      <c r="I37" s="7" t="inlineStr"/>
      <c r="J37" s="7" t="inlineStr"/>
      <c r="K37" s="7" t="inlineStr"/>
      <c r="L37" s="7" t="inlineStr"/>
      <c r="M37" s="7" t="inlineStr"/>
      <c r="N37" s="7" t="inlineStr"/>
    </row>
    <row r="38">
      <c r="A38" s="7" t="inlineStr">
        <is>
          <t>App7-D2(a)(iv)</t>
        </is>
      </c>
      <c r="B38" s="7" t="inlineStr">
        <is>
          <t>PD-07.4</t>
        </is>
      </c>
      <c r="C38" s="7" t="inlineStr"/>
      <c r="D38" s="7" t="inlineStr"/>
      <c r="E38" s="7" t="inlineStr">
        <is>
          <t>Session handling and credential storage</t>
        </is>
      </c>
      <c r="F38" s="7" t="inlineStr">
        <is>
          <t>1. Verify session timeouts (idle and absolute).
2. Confirm concurrent session controls.
3. Verify credentials stored with strong hashing (bcrypt, Argon2).
4. Check auth database access-restricted and encrypted.
5. Review account lockout configuration.</t>
        </is>
      </c>
      <c r="G38" s="7" t="inlineStr">
        <is>
          <t>Session management config; Password hashing evidence; Auth database access controls; Account lockout config</t>
        </is>
      </c>
      <c r="H38" s="7" t="inlineStr">
        <is>
          <t>Inspection</t>
        </is>
      </c>
      <c r="I38" s="7" t="inlineStr"/>
      <c r="J38" s="7" t="inlineStr"/>
      <c r="K38" s="7" t="inlineStr"/>
      <c r="L38" s="7" t="inlineStr"/>
      <c r="M38" s="7" t="inlineStr"/>
      <c r="N38" s="7" t="inlineStr"/>
    </row>
    <row r="39">
      <c r="A39" s="7" t="inlineStr">
        <is>
          <t>App7-D2(a)(v)</t>
        </is>
      </c>
      <c r="B39" s="7" t="inlineStr">
        <is>
          <t>PD-07.5</t>
        </is>
      </c>
      <c r="C39" s="7" t="inlineStr"/>
      <c r="D39" s="7" t="inlineStr"/>
      <c r="E39" s="7" t="inlineStr">
        <is>
          <t>Cryptographic implementation</t>
        </is>
      </c>
      <c r="F39" s="7" t="inlineStr">
        <is>
          <t>1. Review cryptographic standards (AES-256, RSA-2048+, ECDSA P-256+).
2. Verify key management practices.
3. Check no deprecated algorithms.
4. Verify crypto implementation reviewed/tested.</t>
        </is>
      </c>
      <c r="G39" s="7" t="inlineStr">
        <is>
          <t>Cryptographic standards document; Key management procedures; HSM config; Crypto assessment results</t>
        </is>
      </c>
      <c r="H39" s="7" t="inlineStr">
        <is>
          <t>Inspection</t>
        </is>
      </c>
      <c r="I39" s="7" t="inlineStr"/>
      <c r="J39" s="7" t="inlineStr"/>
      <c r="K39" s="7" t="inlineStr"/>
      <c r="L39" s="7" t="inlineStr"/>
      <c r="M39" s="7" t="inlineStr"/>
      <c r="N39" s="7" t="inlineStr"/>
    </row>
    <row r="40">
      <c r="A40" s="12" t="inlineStr">
        <is>
          <t>Item 2(b) — Transaction Authentication</t>
        </is>
      </c>
      <c r="B40" s="13" t="n"/>
      <c r="C40" s="13" t="n"/>
      <c r="D40" s="13" t="n"/>
      <c r="E40" s="13" t="n"/>
      <c r="F40" s="13" t="n"/>
      <c r="G40" s="13" t="n"/>
      <c r="H40" s="13" t="n"/>
      <c r="I40" s="13" t="n"/>
      <c r="J40" s="13" t="n"/>
      <c r="K40" s="13" t="n"/>
      <c r="L40" s="13" t="n"/>
      <c r="M40" s="13" t="n"/>
      <c r="N40" s="13" t="n"/>
    </row>
    <row r="41">
      <c r="A41" s="14" t="inlineStr">
        <is>
          <t>Transaction authentication ensures non-repudiation and integrity. Expect transaction signing, tamper-evident audit trails, mutual authentication. Without non-repudiation, disputes cannot be resolved.</t>
        </is>
      </c>
      <c r="B41" s="15" t="n"/>
      <c r="C41" s="15" t="n"/>
      <c r="D41" s="15" t="n"/>
      <c r="E41" s="15" t="n"/>
      <c r="F41" s="15" t="n"/>
      <c r="G41" s="15" t="n"/>
      <c r="H41" s="15" t="n"/>
      <c r="I41" s="15" t="n"/>
      <c r="J41" s="15" t="n"/>
      <c r="K41" s="15" t="n"/>
      <c r="L41" s="15" t="n"/>
      <c r="M41" s="15" t="n"/>
      <c r="N41" s="15" t="n"/>
    </row>
    <row r="42">
      <c r="A42" s="16" t="inlineStr">
        <is>
          <t>App7-D2(b)</t>
        </is>
      </c>
      <c r="B42" s="16" t="inlineStr">
        <is>
          <t>PD-08</t>
        </is>
      </c>
      <c r="C42" s="16" t="inlineStr">
        <is>
          <t>WORKLOAD</t>
        </is>
      </c>
      <c r="D42" s="16" t="inlineStr">
        <is>
          <t>Transaction Authentication</t>
        </is>
      </c>
      <c r="E42" s="16" t="inlineStr">
        <is>
          <t>Proof of origin, integrity, secure delivery, and mutual authentication</t>
        </is>
      </c>
      <c r="F42" s="16" t="inlineStr"/>
      <c r="G42" s="16" t="inlineStr"/>
      <c r="H42" s="16" t="inlineStr"/>
      <c r="I42" s="16" t="inlineStr"/>
      <c r="J42" s="16" t="inlineStr"/>
      <c r="K42" s="16" t="inlineStr"/>
      <c r="L42" s="16" t="inlineStr"/>
      <c r="M42" s="17" t="inlineStr"/>
      <c r="N42" s="17" t="inlineStr"/>
    </row>
    <row r="43">
      <c r="A43" s="7" t="inlineStr">
        <is>
          <t>App7-D2(b)(i)</t>
        </is>
      </c>
      <c r="B43" s="7" t="inlineStr">
        <is>
          <t>PD-08.1</t>
        </is>
      </c>
      <c r="C43" s="7" t="inlineStr"/>
      <c r="D43" s="7" t="inlineStr"/>
      <c r="E43" s="7" t="inlineStr">
        <is>
          <t>Proof of origin and integrity</t>
        </is>
      </c>
      <c r="F43" s="7" t="inlineStr">
        <is>
          <t>1. Review transaction signing/MAC mechanisms.
2. Verify records include origin, timestamp, hash, integrity verification.
3. Confirm tamper-evident audit trails.
4. Check logs sufficient for dispute resolution.</t>
        </is>
      </c>
      <c r="G43" s="7" t="inlineStr">
        <is>
          <t>Transaction authentication mechanism; Sample transaction records; Audit trail controls; Log retention policy</t>
        </is>
      </c>
      <c r="H43" s="7" t="inlineStr">
        <is>
          <t>Inspection</t>
        </is>
      </c>
      <c r="I43" s="7" t="inlineStr"/>
      <c r="J43" s="7" t="inlineStr"/>
      <c r="K43" s="7" t="inlineStr"/>
      <c r="L43" s="7" t="inlineStr"/>
      <c r="M43" s="7" t="inlineStr"/>
      <c r="N43" s="7" t="inlineStr"/>
    </row>
    <row r="44">
      <c r="A44" s="7" t="inlineStr">
        <is>
          <t>App7-D2(b)(ii)</t>
        </is>
      </c>
      <c r="B44" s="7" t="inlineStr">
        <is>
          <t>PD-08.2</t>
        </is>
      </c>
      <c r="C44" s="7" t="inlineStr"/>
      <c r="D44" s="7" t="inlineStr"/>
      <c r="E44" s="7" t="inlineStr">
        <is>
          <t>Secure delivery and mutual authentication</t>
        </is>
      </c>
      <c r="F44" s="7" t="inlineStr">
        <is>
          <t>1. Verify delivery channel secured end-to-end.
2. Check alerts for high-risk transaction types.
3. Verify mutual authentication for B2B channels.
4. Review triggers for additional authentication.</t>
        </is>
      </c>
      <c r="G44" s="7" t="inlineStr">
        <is>
          <t>Channel security architecture; Transaction alert config; Mutual authentication implementation; Authentication trigger criteria</t>
        </is>
      </c>
      <c r="H44" s="7" t="inlineStr">
        <is>
          <t>Inspection</t>
        </is>
      </c>
      <c r="I44" s="7" t="inlineStr"/>
      <c r="J44" s="7" t="inlineStr"/>
      <c r="K44" s="7" t="inlineStr"/>
      <c r="L44" s="7" t="inlineStr"/>
      <c r="M44" s="7" t="inlineStr"/>
      <c r="N44" s="7" t="inlineStr"/>
    </row>
    <row r="45">
      <c r="A45" s="7" t="inlineStr">
        <is>
          <t>App7-D2(b)(iii)</t>
        </is>
      </c>
      <c r="B45" s="7" t="inlineStr">
        <is>
          <t>PD-08.3</t>
        </is>
      </c>
      <c r="C45" s="7" t="inlineStr"/>
      <c r="D45" s="7" t="inlineStr"/>
      <c r="E45" s="7" t="inlineStr">
        <is>
          <t>Transaction notification and confirmation</t>
        </is>
      </c>
      <c r="F45" s="7" t="inlineStr">
        <is>
          <t>1. Verify transaction notifications sent (push, SMS, email).
2. Confirm high-risk transactions trigger real-time alerts.
3. Check customer can dispute/report through notifications.
4. Verify notification delivery is reliable.</t>
        </is>
      </c>
      <c r="G45" s="7" t="inlineStr">
        <is>
          <t>Transaction notification config; Alert rules; Customer dispute channel; Notification delivery SLAs</t>
        </is>
      </c>
      <c r="H45" s="7" t="inlineStr">
        <is>
          <t>Inspection</t>
        </is>
      </c>
      <c r="I45" s="7" t="inlineStr"/>
      <c r="J45" s="7" t="inlineStr"/>
      <c r="K45" s="7" t="inlineStr"/>
      <c r="L45" s="7" t="inlineStr"/>
      <c r="M45" s="7" t="inlineStr"/>
      <c r="N45" s="7" t="inlineStr"/>
    </row>
    <row r="46">
      <c r="A46" s="7" t="inlineStr">
        <is>
          <t>App7-D2(b)(iv)</t>
        </is>
      </c>
      <c r="B46" s="7" t="inlineStr">
        <is>
          <t>PD-08.4</t>
        </is>
      </c>
      <c r="C46" s="7" t="inlineStr"/>
      <c r="D46" s="7" t="inlineStr"/>
      <c r="E46" s="7" t="inlineStr">
        <is>
          <t>Transaction binding and anti-replay</t>
        </is>
      </c>
      <c r="F46" s="7" t="inlineStr">
        <is>
          <t>1. Verify authentication tokens bound to specific transaction parameters.
2. Check anti-replay mechanisms (nonce, timestamp).
3. Verify OTP/TAC is single-use and expires within 2-5 minutes.
4. Confirm transaction cannot be modified after authentication.</t>
        </is>
      </c>
      <c r="G46" s="7" t="inlineStr">
        <is>
          <t>Transaction binding mechanism; Anti-replay controls; OTP/TAC config; Transaction immutability controls</t>
        </is>
      </c>
      <c r="H46" s="7" t="inlineStr">
        <is>
          <t>Inspection</t>
        </is>
      </c>
      <c r="I46" s="7" t="inlineStr"/>
      <c r="J46" s="7" t="inlineStr"/>
      <c r="K46" s="7" t="inlineStr"/>
      <c r="L46" s="7" t="inlineStr"/>
      <c r="M46" s="7" t="inlineStr"/>
      <c r="N46" s="7" t="inlineStr"/>
    </row>
    <row r="47">
      <c r="A47" s="12" t="inlineStr">
        <is>
          <t>Item 2(c) — Segregation of Duties</t>
        </is>
      </c>
      <c r="B47" s="13" t="n"/>
      <c r="C47" s="13" t="n"/>
      <c r="D47" s="13" t="n"/>
      <c r="E47" s="13" t="n"/>
      <c r="F47" s="13" t="n"/>
      <c r="G47" s="13" t="n"/>
      <c r="H47" s="13" t="n"/>
      <c r="I47" s="13" t="n"/>
      <c r="J47" s="13" t="n"/>
      <c r="K47" s="13" t="n"/>
      <c r="L47" s="13" t="n"/>
      <c r="M47" s="13" t="n"/>
      <c r="N47" s="13" t="n"/>
    </row>
    <row r="48">
      <c r="A48" s="14" t="inlineStr">
        <is>
          <t>SoD prevents single-person control over critical operations. Expect maker-checker, privileged user reviews, tamper-resistant authorisation. SoD failures enable fraud.</t>
        </is>
      </c>
      <c r="B48" s="15" t="n"/>
      <c r="C48" s="15" t="n"/>
      <c r="D48" s="15" t="n"/>
      <c r="E48" s="15" t="n"/>
      <c r="F48" s="15" t="n"/>
      <c r="G48" s="15" t="n"/>
      <c r="H48" s="15" t="n"/>
      <c r="I48" s="15" t="n"/>
      <c r="J48" s="15" t="n"/>
      <c r="K48" s="15" t="n"/>
      <c r="L48" s="15" t="n"/>
      <c r="M48" s="15" t="n"/>
      <c r="N48" s="15" t="n"/>
    </row>
    <row r="49">
      <c r="A49" s="16" t="inlineStr">
        <is>
          <t>App7-D2(c)</t>
        </is>
      </c>
      <c r="B49" s="16" t="inlineStr">
        <is>
          <t>PD-09</t>
        </is>
      </c>
      <c r="C49" s="16" t="inlineStr">
        <is>
          <t>WORKLOAD</t>
        </is>
      </c>
      <c r="D49" s="16" t="inlineStr">
        <is>
          <t>Segregation of Duties</t>
        </is>
      </c>
      <c r="E49" s="16" t="inlineStr">
        <is>
          <t>Dual control, maker-checker, and authorisation database integrity</t>
        </is>
      </c>
      <c r="F49" s="16" t="inlineStr"/>
      <c r="G49" s="16" t="inlineStr"/>
      <c r="H49" s="16" t="inlineStr"/>
      <c r="I49" s="16" t="inlineStr"/>
      <c r="J49" s="16" t="inlineStr"/>
      <c r="K49" s="16" t="inlineStr"/>
      <c r="L49" s="16" t="inlineStr"/>
      <c r="M49" s="17" t="inlineStr"/>
      <c r="N49" s="17" t="inlineStr"/>
    </row>
    <row r="50">
      <c r="A50" s="7" t="inlineStr">
        <is>
          <t>App7-D2(c)(i)</t>
        </is>
      </c>
      <c r="B50" s="7" t="inlineStr">
        <is>
          <t>PD-09.1</t>
        </is>
      </c>
      <c r="C50" s="7" t="inlineStr"/>
      <c r="D50" s="7" t="inlineStr"/>
      <c r="E50" s="7" t="inlineStr">
        <is>
          <t>Dual control for online transactions</t>
        </is>
      </c>
      <c r="F50" s="7" t="inlineStr">
        <is>
          <t>1. Identify critical functions in online transaction systems.
2. Verify maker-checker for critical operations.
3. Review access control matrices — no single user can initiate and approve.
4. Verify unauthorised access detection.</t>
        </is>
      </c>
      <c r="G50" s="7" t="inlineStr">
        <is>
          <t>Access control matrices; Maker-checker config; Dual control workflow; Unauthorised access detection controls</t>
        </is>
      </c>
      <c r="H50" s="7" t="inlineStr">
        <is>
          <t>Inspection</t>
        </is>
      </c>
      <c r="I50" s="7" t="inlineStr"/>
      <c r="J50" s="7" t="inlineStr"/>
      <c r="K50" s="7" t="inlineStr"/>
      <c r="L50" s="7" t="inlineStr"/>
      <c r="M50" s="7" t="inlineStr"/>
      <c r="N50" s="7" t="inlineStr"/>
    </row>
    <row r="51">
      <c r="A51" s="7" t="inlineStr">
        <is>
          <t>App7-D2(c)(ii)</t>
        </is>
      </c>
      <c r="B51" s="7" t="inlineStr">
        <is>
          <t>PD-09.2</t>
        </is>
      </c>
      <c r="C51" s="7" t="inlineStr"/>
      <c r="D51" s="7" t="inlineStr"/>
      <c r="E51" s="7" t="inlineStr">
        <is>
          <t>Authorisation database integrity</t>
        </is>
      </c>
      <c r="F51" s="7" t="inlineStr">
        <is>
          <t>1. Verify authorisation database is tamper-resistant.
2. Confirm changes require approval and are logged.
3. Obtain privileged user list — verify quarterly review.
4. Check reviews result in revocation of unnecessary access.</t>
        </is>
      </c>
      <c r="G51" s="7" t="inlineStr">
        <is>
          <t>Auth database access controls; Change logs; Privileged user review records; Revocation evidence</t>
        </is>
      </c>
      <c r="H51" s="7" t="inlineStr">
        <is>
          <t>Inspection</t>
        </is>
      </c>
      <c r="I51" s="7" t="inlineStr"/>
      <c r="J51" s="7" t="inlineStr"/>
      <c r="K51" s="7" t="inlineStr"/>
      <c r="L51" s="7" t="inlineStr"/>
      <c r="M51" s="7" t="inlineStr"/>
      <c r="N51" s="7" t="inlineStr"/>
    </row>
    <row r="52">
      <c r="A52" s="7" t="inlineStr">
        <is>
          <t>App7-D2(c)(iii)</t>
        </is>
      </c>
      <c r="B52" s="7" t="inlineStr">
        <is>
          <t>PD-09.3</t>
        </is>
      </c>
      <c r="C52" s="7" t="inlineStr"/>
      <c r="D52" s="7" t="inlineStr"/>
      <c r="E52" s="7" t="inlineStr">
        <is>
          <t>SoD in system administration</t>
        </is>
      </c>
      <c r="F52" s="7" t="inlineStr">
        <is>
          <t>1. Verify system administration duties separated (DBA vs network vs security).
2. Check no single admin has unrestricted access across domains.
3. Verify SoD matrix enforced in IAM.
4. Review compensating controls where SoD cannot be fully achieved.</t>
        </is>
      </c>
      <c r="G52" s="7" t="inlineStr">
        <is>
          <t>SoD matrix; Admin role definitions; IAM enforcement evidence; Compensating controls documentation</t>
        </is>
      </c>
      <c r="H52" s="7" t="inlineStr">
        <is>
          <t>Inspection</t>
        </is>
      </c>
      <c r="I52" s="7" t="inlineStr"/>
      <c r="J52" s="7" t="inlineStr"/>
      <c r="K52" s="7" t="inlineStr"/>
      <c r="L52" s="7" t="inlineStr"/>
      <c r="M52" s="7" t="inlineStr"/>
      <c r="N52" s="7" t="inlineStr"/>
    </row>
    <row r="53">
      <c r="A53" s="7" t="inlineStr">
        <is>
          <t>App7-D2(c)(iv)</t>
        </is>
      </c>
      <c r="B53" s="7" t="inlineStr">
        <is>
          <t>PD-09.4</t>
        </is>
      </c>
      <c r="C53" s="7" t="inlineStr"/>
      <c r="D53" s="7" t="inlineStr"/>
      <c r="E53" s="7" t="inlineStr">
        <is>
          <t>Monitoring of privileged activities</t>
        </is>
      </c>
      <c r="F53" s="7" t="inlineStr">
        <is>
          <t>1. Verify all privileged activities are logged.
2. Check logs reviewed regularly (at least weekly).
3. Confirm anomalous privileged activities trigger alerts.
4. Verify log integrity (tamper-proof).</t>
        </is>
      </c>
      <c r="G53" s="7" t="inlineStr">
        <is>
          <t>Privileged activity logs; Log review schedule; Alerting rules; Log integrity controls</t>
        </is>
      </c>
      <c r="H53" s="7" t="inlineStr">
        <is>
          <t>Inspection</t>
        </is>
      </c>
      <c r="I53" s="7" t="inlineStr"/>
      <c r="J53" s="7" t="inlineStr"/>
      <c r="K53" s="7" t="inlineStr"/>
      <c r="L53" s="7" t="inlineStr"/>
      <c r="M53" s="7" t="inlineStr"/>
      <c r="N53" s="7" t="inlineStr"/>
    </row>
    <row r="54">
      <c r="A54" s="12" t="inlineStr">
        <is>
          <t>Item 2(d) — Data Integrity</t>
        </is>
      </c>
      <c r="B54" s="13" t="n"/>
      <c r="C54" s="13" t="n"/>
      <c r="D54" s="13" t="n"/>
      <c r="E54" s="13" t="n"/>
      <c r="F54" s="13" t="n"/>
      <c r="G54" s="13" t="n"/>
      <c r="H54" s="13" t="n"/>
      <c r="I54" s="13" t="n"/>
      <c r="J54" s="13" t="n"/>
      <c r="K54" s="13" t="n"/>
      <c r="L54" s="13" t="n"/>
      <c r="M54" s="13" t="n"/>
      <c r="N54" s="13" t="n"/>
    </row>
    <row r="55">
      <c r="A55" s="14" t="inlineStr">
        <is>
          <t>Data integrity controls prevent tampering and ensure confidentiality. Expect E2E encryption, defence-in-depth, pen testing, audit trails. Data integrity failure causes financial loss and regulatory breach.</t>
        </is>
      </c>
      <c r="B55" s="15" t="n"/>
      <c r="C55" s="15" t="n"/>
      <c r="D55" s="15" t="n"/>
      <c r="E55" s="15" t="n"/>
      <c r="F55" s="15" t="n"/>
      <c r="G55" s="15" t="n"/>
      <c r="H55" s="15" t="n"/>
      <c r="I55" s="15" t="n"/>
      <c r="J55" s="15" t="n"/>
      <c r="K55" s="15" t="n"/>
      <c r="L55" s="15" t="n"/>
      <c r="M55" s="15" t="n"/>
      <c r="N55" s="15" t="n"/>
    </row>
    <row r="56">
      <c r="A56" s="16" t="inlineStr">
        <is>
          <t>App7-D2(d)</t>
        </is>
      </c>
      <c r="B56" s="16" t="inlineStr">
        <is>
          <t>PD-10</t>
        </is>
      </c>
      <c r="C56" s="16" t="inlineStr">
        <is>
          <t>ORG</t>
        </is>
      </c>
      <c r="D56" s="16" t="inlineStr">
        <is>
          <t>Data Integrity</t>
        </is>
      </c>
      <c r="E56" s="16" t="inlineStr">
        <is>
          <t>End-to-end encryption, multi-layer security, SPOF avoidance, security assessment, and audit trails</t>
        </is>
      </c>
      <c r="F56" s="16" t="inlineStr"/>
      <c r="G56" s="16" t="inlineStr"/>
      <c r="H56" s="16" t="inlineStr"/>
      <c r="I56" s="16" t="inlineStr"/>
      <c r="J56" s="16" t="inlineStr"/>
      <c r="K56" s="16" t="inlineStr"/>
      <c r="L56" s="16" t="inlineStr"/>
      <c r="M56" s="17" t="inlineStr"/>
      <c r="N56" s="17" t="inlineStr"/>
    </row>
    <row r="57">
      <c r="A57" s="7" t="inlineStr">
        <is>
          <t>App7-D2(d)(i)</t>
        </is>
      </c>
      <c r="B57" s="7" t="inlineStr">
        <is>
          <t>PD-10.1</t>
        </is>
      </c>
      <c r="C57" s="7" t="inlineStr"/>
      <c r="D57" s="7" t="inlineStr"/>
      <c r="E57" s="7" t="inlineStr">
        <is>
          <t>End-to-end encryption and multi-layer security</t>
        </is>
      </c>
      <c r="F57" s="7" t="inlineStr">
        <is>
          <t>1. Verify E2E encryption for external communications.
2. Review multi-layer network security (defence-in-depth).
3. Confirm each layer independently managed.
4. Verify security devices current on firmware/signatures.</t>
        </is>
      </c>
      <c r="G57" s="7" t="inlineStr">
        <is>
          <t>Encryption architecture; Multi-layer security diagram; Security device inventory; Management and monitoring evidence</t>
        </is>
      </c>
      <c r="H57" s="7" t="inlineStr">
        <is>
          <t>Inspection</t>
        </is>
      </c>
      <c r="I57" s="7" t="inlineStr"/>
      <c r="J57" s="7" t="inlineStr"/>
      <c r="K57" s="7" t="inlineStr"/>
      <c r="L57" s="7" t="inlineStr"/>
      <c r="M57" s="7" t="inlineStr"/>
      <c r="N57" s="7" t="inlineStr"/>
    </row>
    <row r="58">
      <c r="A58" s="7" t="inlineStr">
        <is>
          <t>App7-D2(d)(ii)</t>
        </is>
      </c>
      <c r="B58" s="7" t="inlineStr">
        <is>
          <t>PD-10.2</t>
        </is>
      </c>
      <c r="C58" s="7" t="inlineStr"/>
      <c r="D58" s="7" t="inlineStr"/>
      <c r="E58" s="7" t="inlineStr">
        <is>
          <t>Absence of single points of failure</t>
        </is>
      </c>
      <c r="F58" s="7" t="inlineStr">
        <is>
          <t>1. Review network architecture for SPOF.
2. Verify redundancy at each critical layer.
3. Confirm failover tested within 12 months.
4. Check SPOF analysis documented.</t>
        </is>
      </c>
      <c r="G58" s="7" t="inlineStr">
        <is>
          <t>Network architecture with redundancy; SPOF analysis; Failover test results; SPOF review history</t>
        </is>
      </c>
      <c r="H58" s="7" t="inlineStr">
        <is>
          <t>Inspection</t>
        </is>
      </c>
      <c r="I58" s="7" t="inlineStr"/>
      <c r="J58" s="7" t="inlineStr"/>
      <c r="K58" s="7" t="inlineStr"/>
      <c r="L58" s="7" t="inlineStr"/>
      <c r="M58" s="7" t="inlineStr"/>
      <c r="N58" s="7" t="inlineStr"/>
    </row>
    <row r="59">
      <c r="A59" s="7" t="inlineStr">
        <is>
          <t>App7-D2(d)(iii)</t>
        </is>
      </c>
      <c r="B59" s="7" t="inlineStr">
        <is>
          <t>PD-10.3</t>
        </is>
      </c>
      <c r="C59" s="7" t="inlineStr"/>
      <c r="D59" s="7" t="inlineStr"/>
      <c r="E59" s="7" t="inlineStr">
        <is>
          <t>Security assessment and audit trails</t>
        </is>
      </c>
      <c r="F59" s="7" t="inlineStr">
        <is>
          <t>1. Obtain most recent pen test and network security assessment.
2. Verify testing by qualified party within 12 months.
3. Confirm vulnerabilities remediated or risk-accepted.
4. Verify audit trail capabilities.
5. Confirm logs tamper-protected and retained.</t>
        </is>
      </c>
      <c r="G59" s="7" t="inlineStr">
        <is>
          <t>Pen test report; Network security assessment; Audit trail config and sample logs; Log integrity controls</t>
        </is>
      </c>
      <c r="H59" s="7" t="inlineStr">
        <is>
          <t>Inspection</t>
        </is>
      </c>
      <c r="I59" s="7" t="inlineStr"/>
      <c r="J59" s="7" t="inlineStr"/>
      <c r="K59" s="7" t="inlineStr"/>
      <c r="L59" s="7" t="inlineStr"/>
      <c r="M59" s="7" t="inlineStr"/>
      <c r="N59" s="7" t="inlineStr"/>
    </row>
    <row r="60">
      <c r="A60" s="7" t="inlineStr">
        <is>
          <t>App7-D2(d)(iv)</t>
        </is>
      </c>
      <c r="B60" s="7" t="inlineStr">
        <is>
          <t>PD-10.4</t>
        </is>
      </c>
      <c r="C60" s="7" t="inlineStr"/>
      <c r="D60" s="7" t="inlineStr"/>
      <c r="E60" s="7" t="inlineStr">
        <is>
          <t>Data confidentiality and risk-based auth</t>
        </is>
      </c>
      <c r="F60" s="7" t="inlineStr">
        <is>
          <t>1. Verify confidentiality controls (encryption, masking, access controls).
2. Confirm data classification applied.
3. Verify risk-based step-up authentication.
4. Check customers receive timely transaction notifications.</t>
        </is>
      </c>
      <c r="G60" s="7" t="inlineStr">
        <is>
          <t>Data classification scheme; Encryption and masking config; Risk-based auth rules; Customer notification samples</t>
        </is>
      </c>
      <c r="H60" s="7" t="inlineStr">
        <is>
          <t>Inspection</t>
        </is>
      </c>
      <c r="I60" s="7" t="inlineStr"/>
      <c r="J60" s="7" t="inlineStr"/>
      <c r="K60" s="7" t="inlineStr"/>
      <c r="L60" s="7" t="inlineStr"/>
      <c r="M60" s="7" t="inlineStr"/>
      <c r="N60" s="7" t="inlineStr"/>
    </row>
    <row r="61">
      <c r="A61" s="7" t="inlineStr">
        <is>
          <t>App7-D2(d)(v)</t>
        </is>
      </c>
      <c r="B61" s="7" t="inlineStr">
        <is>
          <t>PD-10.5</t>
        </is>
      </c>
      <c r="C61" s="7" t="inlineStr"/>
      <c r="D61" s="7" t="inlineStr"/>
      <c r="E61" s="7" t="inlineStr">
        <is>
          <t>Data at rest protection</t>
        </is>
      </c>
      <c r="F61" s="7" t="inlineStr">
        <is>
          <t>1. Verify encryption at rest for databases, file systems, backups.
2. Check key management (rotation, access controls, HSM).
3. Verify data masking in non-production environments.
4. Confirm data disposal procedures.</t>
        </is>
      </c>
      <c r="G61" s="7" t="inlineStr">
        <is>
          <t>Encryption at rest config; Key management procedures; Data masking evidence; Data disposal procedures</t>
        </is>
      </c>
      <c r="H61" s="7" t="inlineStr">
        <is>
          <t>Inspection</t>
        </is>
      </c>
      <c r="I61" s="7" t="inlineStr"/>
      <c r="J61" s="7" t="inlineStr"/>
      <c r="K61" s="7" t="inlineStr"/>
      <c r="L61" s="7" t="inlineStr"/>
      <c r="M61" s="7" t="inlineStr"/>
      <c r="N61" s="7" t="inlineStr"/>
    </row>
    <row r="62">
      <c r="A62" s="7" t="inlineStr">
        <is>
          <t>App7-D2(d)(vi)</t>
        </is>
      </c>
      <c r="B62" s="7" t="inlineStr">
        <is>
          <t>PD-10.6</t>
        </is>
      </c>
      <c r="C62" s="7" t="inlineStr"/>
      <c r="D62" s="7" t="inlineStr"/>
      <c r="E62" s="7" t="inlineStr">
        <is>
          <t>Integrity monitoring and checksums</t>
        </is>
      </c>
      <c r="F62" s="7" t="inlineStr">
        <is>
          <t>1. Verify file integrity monitoring for critical system files.
2. Check database integrity controls (checksums, referential integrity).
3. Verify integrity checks in data transfer processes.
4. Confirm integrity violations trigger alerts.</t>
        </is>
      </c>
      <c r="G62" s="7" t="inlineStr">
        <is>
          <t>FIM config; Database integrity controls; Data transfer integrity checks; Integrity alert config</t>
        </is>
      </c>
      <c r="H62" s="7" t="inlineStr">
        <is>
          <t>Inspection</t>
        </is>
      </c>
      <c r="I62" s="7" t="inlineStr"/>
      <c r="J62" s="7" t="inlineStr"/>
      <c r="K62" s="7" t="inlineStr"/>
      <c r="L62" s="7" t="inlineStr"/>
      <c r="M62" s="7" t="inlineStr"/>
      <c r="N62" s="7" t="inlineStr"/>
    </row>
    <row r="63">
      <c r="A63" s="7" t="inlineStr">
        <is>
          <t>App7-D2(d)(vii)</t>
        </is>
      </c>
      <c r="B63" s="7" t="inlineStr">
        <is>
          <t>PD-10.7</t>
        </is>
      </c>
      <c r="C63" s="7" t="inlineStr"/>
      <c r="D63" s="7" t="inlineStr"/>
      <c r="E63" s="7" t="inlineStr">
        <is>
          <t>Data loss prevention</t>
        </is>
      </c>
      <c r="F63" s="7" t="inlineStr">
        <is>
          <t>1. Verify DLP controls for sensitive data.
2. Check DLP coverage (email, web, endpoint, cloud).
3. Review DLP policy rules and exceptions.
4. Sample DLP incidents (5 recent) — verify investigation.</t>
        </is>
      </c>
      <c r="G63" s="7" t="inlineStr">
        <is>
          <t>DLP policy and config; DLP coverage matrix; DLP incident samples; Investigation records</t>
        </is>
      </c>
      <c r="H63" s="7" t="inlineStr">
        <is>
          <t>Inspection</t>
        </is>
      </c>
      <c r="I63" s="7" t="inlineStr"/>
      <c r="J63" s="7" t="inlineStr"/>
      <c r="K63" s="7" t="inlineStr"/>
      <c r="L63" s="7" t="inlineStr"/>
      <c r="M63" s="7" t="inlineStr"/>
      <c r="N63" s="7" t="inlineStr"/>
    </row>
    <row r="64">
      <c r="A64" s="7" t="inlineStr">
        <is>
          <t>App7-D2(d)(viii)</t>
        </is>
      </c>
      <c r="B64" s="7" t="inlineStr">
        <is>
          <t>PD-10.8</t>
        </is>
      </c>
      <c r="C64" s="7" t="inlineStr"/>
      <c r="D64" s="7" t="inlineStr"/>
      <c r="E64" s="7" t="inlineStr">
        <is>
          <t>Backup integrity verification</t>
        </is>
      </c>
      <c r="F64" s="7" t="inlineStr">
        <is>
          <t>1. Verify backup integrity checks (checksum verification).
2. Confirm restore testing includes data integrity validation.
3. Check backup encryption and access controls.
4. Verify backup logs and monitoring.</t>
        </is>
      </c>
      <c r="G64" s="7" t="inlineStr">
        <is>
          <t>Backup integrity checks; Restore test with validation; Backup encryption config; Backup monitoring</t>
        </is>
      </c>
      <c r="H64" s="7" t="inlineStr">
        <is>
          <t>Inspection</t>
        </is>
      </c>
      <c r="I64" s="7" t="inlineStr"/>
      <c r="J64" s="7" t="inlineStr"/>
      <c r="K64" s="7" t="inlineStr"/>
      <c r="L64" s="7" t="inlineStr"/>
      <c r="M64" s="7" t="inlineStr"/>
      <c r="N64" s="7" t="inlineStr"/>
    </row>
    <row r="65">
      <c r="A65" s="12" t="inlineStr">
        <is>
          <t>Item 2(e) — Mobile Device Risks</t>
        </is>
      </c>
      <c r="B65" s="13" t="n"/>
      <c r="C65" s="13" t="n"/>
      <c r="D65" s="13" t="n"/>
      <c r="E65" s="13" t="n"/>
      <c r="F65" s="13" t="n"/>
      <c r="G65" s="13" t="n"/>
      <c r="H65" s="13" t="n"/>
      <c r="I65" s="13" t="n"/>
      <c r="J65" s="13" t="n"/>
      <c r="K65" s="13" t="n"/>
      <c r="L65" s="13" t="n"/>
      <c r="M65" s="13" t="n"/>
      <c r="N65" s="13" t="n"/>
    </row>
    <row r="66">
      <c r="A66" s="14" t="inlineStr">
        <is>
          <t>Mobile apps require additional protections due to the untrusted device environment. Expect jailbreak detection, secure storage, certificate pinning, fake app monitoring. Mobile-specific attacks bypass server-side controls.</t>
        </is>
      </c>
      <c r="B66" s="15" t="n"/>
      <c r="C66" s="15" t="n"/>
      <c r="D66" s="15" t="n"/>
      <c r="E66" s="15" t="n"/>
      <c r="F66" s="15" t="n"/>
      <c r="G66" s="15" t="n"/>
      <c r="H66" s="15" t="n"/>
      <c r="I66" s="15" t="n"/>
      <c r="J66" s="15" t="n"/>
      <c r="K66" s="15" t="n"/>
      <c r="L66" s="15" t="n"/>
      <c r="M66" s="15" t="n"/>
      <c r="N66" s="15" t="n"/>
    </row>
    <row r="67">
      <c r="A67" s="16" t="inlineStr">
        <is>
          <t>App7-D2(e)</t>
        </is>
      </c>
      <c r="B67" s="16" t="inlineStr">
        <is>
          <t>PD-11</t>
        </is>
      </c>
      <c r="C67" s="16" t="inlineStr">
        <is>
          <t>WORKLOAD</t>
        </is>
      </c>
      <c r="D67" s="16" t="inlineStr">
        <is>
          <t>Mobile Device Security</t>
        </is>
      </c>
      <c r="E67" s="16" t="inlineStr">
        <is>
          <t>Mobile app security baseline, data protection, transaction controls, and app distribution security</t>
        </is>
      </c>
      <c r="F67" s="16" t="inlineStr"/>
      <c r="G67" s="16" t="inlineStr"/>
      <c r="H67" s="16" t="inlineStr"/>
      <c r="I67" s="16" t="inlineStr"/>
      <c r="J67" s="16" t="inlineStr"/>
      <c r="K67" s="16" t="inlineStr"/>
      <c r="L67" s="16" t="inlineStr"/>
      <c r="M67" s="17" t="inlineStr"/>
      <c r="N67" s="17" t="inlineStr"/>
    </row>
    <row r="68">
      <c r="A68" s="7" t="inlineStr">
        <is>
          <t>App7-D2(e)(i)</t>
        </is>
      </c>
      <c r="B68" s="7" t="inlineStr">
        <is>
          <t>PD-11.1</t>
        </is>
      </c>
      <c r="C68" s="7" t="inlineStr"/>
      <c r="D68" s="7" t="inlineStr"/>
      <c r="E68" s="7" t="inlineStr">
        <is>
          <t>Mobile app security baseline</t>
        </is>
      </c>
      <c r="F68" s="7" t="inlineStr">
        <is>
          <t>1. Confirm minimum OS version enforced and jailbreak/root detection.
2. Review most recent mobile pen test.
3. Verify vulnerabilities remediated.
4. Confirm secure E2E communication (cert pinning, TLS 1.2+).</t>
        </is>
      </c>
      <c r="G68" s="7" t="inlineStr">
        <is>
          <t>OS version enforcement; Jailbreak/root detection; Mobile pen test report; Remediation evidence; Communication security config</t>
        </is>
      </c>
      <c r="H68" s="7" t="inlineStr">
        <is>
          <t>Inspection</t>
        </is>
      </c>
      <c r="I68" s="7" t="inlineStr"/>
      <c r="J68" s="7" t="inlineStr"/>
      <c r="K68" s="7" t="inlineStr"/>
      <c r="L68" s="7" t="inlineStr"/>
      <c r="M68" s="7" t="inlineStr"/>
      <c r="N68" s="7" t="inlineStr"/>
    </row>
    <row r="69">
      <c r="A69" s="7" t="inlineStr">
        <is>
          <t>App7-D2(e)(ii)</t>
        </is>
      </c>
      <c r="B69" s="7" t="inlineStr">
        <is>
          <t>PD-11.2</t>
        </is>
      </c>
      <c r="C69" s="7" t="inlineStr"/>
      <c r="D69" s="7" t="inlineStr"/>
      <c r="E69" s="7" t="inlineStr">
        <is>
          <t>Mobile data protection</t>
        </is>
      </c>
      <c r="F69" s="7" t="inlineStr">
        <is>
          <t>1. Verify sensitive data not stored on device or only in secure enclaves.
2. Confirm cache/logs sanitised.
3. Verify clipboard access restricted.
4. Check remote wipe capability.</t>
        </is>
      </c>
      <c r="G69" s="7" t="inlineStr">
        <is>
          <t>Mobile app security architecture; Data storage review; Secure enclave usage; Remote wipe documentation</t>
        </is>
      </c>
      <c r="H69" s="7" t="inlineStr">
        <is>
          <t>Inspection</t>
        </is>
      </c>
      <c r="I69" s="7" t="inlineStr"/>
      <c r="J69" s="7" t="inlineStr"/>
      <c r="K69" s="7" t="inlineStr"/>
      <c r="L69" s="7" t="inlineStr"/>
      <c r="M69" s="7" t="inlineStr"/>
      <c r="N69" s="7" t="inlineStr"/>
    </row>
    <row r="70">
      <c r="A70" s="7" t="inlineStr">
        <is>
          <t>App7-D2(e)(iii)</t>
        </is>
      </c>
      <c r="B70" s="7" t="inlineStr">
        <is>
          <t>PD-11.3</t>
        </is>
      </c>
      <c r="C70" s="7" t="inlineStr"/>
      <c r="D70" s="7" t="inlineStr"/>
      <c r="E70" s="7" t="inlineStr">
        <is>
          <t>Transaction notification and codes</t>
        </is>
      </c>
      <c r="F70" s="7" t="inlineStr">
        <is>
          <t>1. Verify transaction notifications (push, SMS, email).
2. Verify suspicious transaction alerts.
3. Confirm unique per-transaction codes (TAC, OTP).
4. Verify code expiry (2-5 min) and single-use.</t>
        </is>
      </c>
      <c r="G70" s="7" t="inlineStr">
        <is>
          <t>Transaction notification config; Suspicious alert rules; Code generation mechanism; Code expiry config</t>
        </is>
      </c>
      <c r="H70" s="7" t="inlineStr">
        <is>
          <t>Inspection</t>
        </is>
      </c>
      <c r="I70" s="7" t="inlineStr"/>
      <c r="J70" s="7" t="inlineStr"/>
      <c r="K70" s="7" t="inlineStr"/>
      <c r="L70" s="7" t="inlineStr"/>
      <c r="M70" s="7" t="inlineStr"/>
      <c r="N70" s="7" t="inlineStr"/>
    </row>
    <row r="71">
      <c r="A71" s="7" t="inlineStr">
        <is>
          <t>App7-D2(e)(iv)</t>
        </is>
      </c>
      <c r="B71" s="7" t="inlineStr">
        <is>
          <t>PD-11.4</t>
        </is>
      </c>
      <c r="C71" s="7" t="inlineStr"/>
      <c r="D71" s="7" t="inlineStr"/>
      <c r="E71" s="7" t="inlineStr">
        <is>
          <t>App distribution and fake app monitoring</t>
        </is>
      </c>
      <c r="F71" s="7" t="inlineStr">
        <is>
          <t>1. Verify publishing access controls.
2. Confirm monitoring for fake/fraudulent apps.
3. Verify takedown process exists and exercised.
4. Review fake app incident history.</t>
        </is>
      </c>
      <c r="G71" s="7" t="inlineStr">
        <is>
          <t>Publishing access controls; Fake app monitoring service; Takedown process docs; Fake app incident log</t>
        </is>
      </c>
      <c r="H71" s="7" t="inlineStr">
        <is>
          <t>Inspection</t>
        </is>
      </c>
      <c r="I71" s="7" t="inlineStr"/>
      <c r="J71" s="7" t="inlineStr"/>
      <c r="K71" s="7" t="inlineStr"/>
      <c r="L71" s="7" t="inlineStr"/>
      <c r="M71" s="7" t="inlineStr"/>
      <c r="N71" s="7" t="inlineStr"/>
    </row>
    <row r="72">
      <c r="A72" s="7" t="inlineStr">
        <is>
          <t>App7-D2(e)(v)</t>
        </is>
      </c>
      <c r="B72" s="7" t="inlineStr">
        <is>
          <t>PD-11.5</t>
        </is>
      </c>
      <c r="C72" s="7" t="inlineStr"/>
      <c r="D72" s="7" t="inlineStr"/>
      <c r="E72" s="7" t="inlineStr">
        <is>
          <t>Code obfuscation and anti-tampering</t>
        </is>
      </c>
      <c r="F72" s="7" t="inlineStr">
        <is>
          <t>1. Verify code obfuscation applied to mobile app binaries.
2. Check anti-tampering and anti-debugging protections.
3. Verify integrity checks on app launch.
4. Confirm RASP deployment.</t>
        </is>
      </c>
      <c r="G72" s="7" t="inlineStr">
        <is>
          <t>Obfuscation evidence; Anti-tampering config; Integrity check mechanism; RASP deployment</t>
        </is>
      </c>
      <c r="H72" s="7" t="inlineStr">
        <is>
          <t>Inspection</t>
        </is>
      </c>
      <c r="I72" s="7" t="inlineStr"/>
      <c r="J72" s="7" t="inlineStr"/>
      <c r="K72" s="7" t="inlineStr"/>
      <c r="L72" s="7" t="inlineStr"/>
      <c r="M72" s="7" t="inlineStr"/>
      <c r="N72" s="7" t="inlineStr"/>
    </row>
    <row r="73">
      <c r="A73" s="7" t="inlineStr">
        <is>
          <t>App7-D2(e)(vi)</t>
        </is>
      </c>
      <c r="B73" s="7" t="inlineStr">
        <is>
          <t>PD-11.6</t>
        </is>
      </c>
      <c r="C73" s="7" t="inlineStr"/>
      <c r="D73" s="7" t="inlineStr"/>
      <c r="E73" s="7" t="inlineStr">
        <is>
          <t>Secure SDK and third-party library management</t>
        </is>
      </c>
      <c r="F73" s="7" t="inlineStr">
        <is>
          <t>1. Inventory third-party SDKs and libraries in mobile app.
2. Verify SDKs from trusted sources with known vulnerabilities checked.
3. Check data sharing by SDKs is controlled.
4. Verify library update process.</t>
        </is>
      </c>
      <c r="G73" s="7" t="inlineStr">
        <is>
          <t>SDK/library inventory; Vulnerability assessment; Data sharing controls; Library update procedures</t>
        </is>
      </c>
      <c r="H73" s="7" t="inlineStr">
        <is>
          <t>Inspection</t>
        </is>
      </c>
      <c r="I73" s="7" t="inlineStr"/>
      <c r="J73" s="7" t="inlineStr"/>
      <c r="K73" s="7" t="inlineStr"/>
      <c r="L73" s="7" t="inlineStr"/>
      <c r="M73" s="7" t="inlineStr"/>
      <c r="N73" s="7" t="inlineStr"/>
    </row>
    <row r="74">
      <c r="A74" s="7" t="inlineStr">
        <is>
          <t>App7-D2(e)(vii)</t>
        </is>
      </c>
      <c r="B74" s="7" t="inlineStr">
        <is>
          <t>PD-11.7</t>
        </is>
      </c>
      <c r="C74" s="7" t="inlineStr"/>
      <c r="D74" s="7" t="inlineStr"/>
      <c r="E74" s="7" t="inlineStr">
        <is>
          <t>Biometric authentication on mobile</t>
        </is>
      </c>
      <c r="F74" s="7" t="inlineStr">
        <is>
          <t>1. Verify biometric authentication uses platform secure enclave.
2. Check fallback authentication mechanism.
3. Verify biometric data not stored by the app.
4. Confirm biometric enrollment verification.</t>
        </is>
      </c>
      <c r="G74" s="7" t="inlineStr">
        <is>
          <t>Biometric implementation; Secure enclave usage; Fallback mechanism; Enrollment verification process</t>
        </is>
      </c>
      <c r="H74" s="7" t="inlineStr">
        <is>
          <t>Inspection</t>
        </is>
      </c>
      <c r="I74" s="7" t="inlineStr"/>
      <c r="J74" s="7" t="inlineStr"/>
      <c r="K74" s="7" t="inlineStr"/>
      <c r="L74" s="7" t="inlineStr"/>
      <c r="M74" s="7" t="inlineStr"/>
      <c r="N74" s="7" t="inlineStr"/>
    </row>
    <row r="75">
      <c r="A75" s="7" t="inlineStr">
        <is>
          <t>App7-D2(e)(viii)</t>
        </is>
      </c>
      <c r="B75" s="7" t="inlineStr">
        <is>
          <t>PD-11.8</t>
        </is>
      </c>
      <c r="C75" s="7" t="inlineStr"/>
      <c r="D75" s="7" t="inlineStr"/>
      <c r="E75" s="7" t="inlineStr">
        <is>
          <t>Push notification security</t>
        </is>
      </c>
      <c r="F75" s="7" t="inlineStr">
        <is>
          <t>1. Verify push notifications do not contain sensitive data.
2. Check notification delivery uses secure channels.
3. Verify notification content is generic until authenticated.
4. Confirm user opt-out capability.</t>
        </is>
      </c>
      <c r="G75" s="7" t="inlineStr">
        <is>
          <t>Push notification policy; Notification content review; Delivery channel security; Opt-out mechanism</t>
        </is>
      </c>
      <c r="H75" s="7" t="inlineStr">
        <is>
          <t>Inspection</t>
        </is>
      </c>
      <c r="I75" s="7" t="inlineStr"/>
      <c r="J75" s="7" t="inlineStr"/>
      <c r="K75" s="7" t="inlineStr"/>
      <c r="L75" s="7" t="inlineStr"/>
      <c r="M75" s="7" t="inlineStr"/>
      <c r="N75" s="7" t="inlineStr"/>
    </row>
    <row r="76">
      <c r="A76" s="7" t="inlineStr">
        <is>
          <t>App7-D2(e)(ix)</t>
        </is>
      </c>
      <c r="B76" s="7" t="inlineStr">
        <is>
          <t>PD-11.9</t>
        </is>
      </c>
      <c r="C76" s="7" t="inlineStr"/>
      <c r="D76" s="7" t="inlineStr"/>
      <c r="E76" s="7" t="inlineStr">
        <is>
          <t>Device binding and registration</t>
        </is>
      </c>
      <c r="F76" s="7" t="inlineStr">
        <is>
          <t>1. Verify device binding mechanism.
2. Check device registration process requires authentication.
3. Verify device change triggers step-up verification.
4. Confirm maximum device limits enforced.</t>
        </is>
      </c>
      <c r="G76" s="7" t="inlineStr">
        <is>
          <t>Device binding mechanism; Registration flow; Device change alerts; Device limit config</t>
        </is>
      </c>
      <c r="H76" s="7" t="inlineStr">
        <is>
          <t>Inspection</t>
        </is>
      </c>
      <c r="I76" s="7" t="inlineStr"/>
      <c r="J76" s="7" t="inlineStr"/>
      <c r="K76" s="7" t="inlineStr"/>
      <c r="L76" s="7" t="inlineStr"/>
      <c r="M76" s="7" t="inlineStr"/>
      <c r="N76" s="7" t="inlineStr"/>
    </row>
    <row r="77">
      <c r="A77" s="7" t="inlineStr">
        <is>
          <t>App7-D2(e)(x)</t>
        </is>
      </c>
      <c r="B77" s="7" t="inlineStr">
        <is>
          <t>PD-11.10</t>
        </is>
      </c>
      <c r="C77" s="7" t="inlineStr"/>
      <c r="D77" s="7" t="inlineStr"/>
      <c r="E77" s="7" t="inlineStr">
        <is>
          <t>Secure communication channel</t>
        </is>
      </c>
      <c r="F77" s="7" t="inlineStr">
        <is>
          <t>1. Verify certificate pinning implemented.
2. Check for SSL/TLS downgrade protection.
3. Verify proxy detection.
4. Confirm mutual TLS where applicable.</t>
        </is>
      </c>
      <c r="G77" s="7" t="inlineStr">
        <is>
          <t>Certificate pinning config; Downgrade protection; Proxy detection mechanism; mTLS config</t>
        </is>
      </c>
      <c r="H77" s="7" t="inlineStr">
        <is>
          <t>Inspection</t>
        </is>
      </c>
      <c r="I77" s="7" t="inlineStr"/>
      <c r="J77" s="7" t="inlineStr"/>
      <c r="K77" s="7" t="inlineStr"/>
      <c r="L77" s="7" t="inlineStr"/>
      <c r="M77" s="7" t="inlineStr"/>
      <c r="N77" s="7" t="inlineStr"/>
    </row>
    <row r="78">
      <c r="A78" s="7" t="inlineStr">
        <is>
          <t>App7-D2(e)(xi)</t>
        </is>
      </c>
      <c r="B78" s="7" t="inlineStr">
        <is>
          <t>PD-11.11</t>
        </is>
      </c>
      <c r="C78" s="7" t="inlineStr"/>
      <c r="D78" s="7" t="inlineStr"/>
      <c r="E78" s="7" t="inlineStr">
        <is>
          <t>Mobile app update and versioning</t>
        </is>
      </c>
      <c r="F78" s="7" t="inlineStr">
        <is>
          <t>1. Verify forced update mechanism for critical security patches.
2. Check minimum supported app version policy.
3. Verify graceful degradation for unsupported versions.
4. Confirm update notification to users.</t>
        </is>
      </c>
      <c r="G78" s="7" t="inlineStr">
        <is>
          <t>Forced update mechanism; Minimum version policy; Degradation handling; Update notification config</t>
        </is>
      </c>
      <c r="H78" s="7" t="inlineStr">
        <is>
          <t>Inspection</t>
        </is>
      </c>
      <c r="I78" s="7" t="inlineStr"/>
      <c r="J78" s="7" t="inlineStr"/>
      <c r="K78" s="7" t="inlineStr"/>
      <c r="L78" s="7" t="inlineStr"/>
      <c r="M78" s="7" t="inlineStr"/>
      <c r="N78" s="7" t="inlineStr"/>
    </row>
  </sheetData>
  <mergeCells count="22">
    <mergeCell ref="A40:N40"/>
    <mergeCell ref="A48:N48"/>
    <mergeCell ref="A54:N54"/>
    <mergeCell ref="A7:N7"/>
    <mergeCell ref="A65:N65"/>
    <mergeCell ref="A41:N41"/>
    <mergeCell ref="A66:N66"/>
    <mergeCell ref="A18:N18"/>
    <mergeCell ref="A27:N27"/>
    <mergeCell ref="A3:N3"/>
    <mergeCell ref="A55:N55"/>
    <mergeCell ref="A12:N12"/>
    <mergeCell ref="A26:N26"/>
    <mergeCell ref="A21:N21"/>
    <mergeCell ref="A2:N2"/>
    <mergeCell ref="A33:N33"/>
    <mergeCell ref="A47:N47"/>
    <mergeCell ref="A32:N32"/>
    <mergeCell ref="A17:N17"/>
    <mergeCell ref="A8:N8"/>
    <mergeCell ref="A22:N22"/>
    <mergeCell ref="A13:N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REPORTING AND ATTESTATION CHECKLIST</t>
        </is>
      </c>
    </row>
    <row r="3">
      <c r="A3" s="9" t="inlineStr">
        <is>
          <t>Step</t>
        </is>
      </c>
      <c r="B3" s="9" t="inlineStr">
        <is>
          <t>Activity</t>
        </is>
      </c>
      <c r="C3" s="9" t="inlineStr">
        <is>
          <t>Responsible</t>
        </is>
      </c>
      <c r="D3" s="9" t="inlineStr">
        <is>
          <t>Status</t>
        </is>
      </c>
      <c r="E3" s="9" t="inlineStr">
        <is>
          <t>Notes</t>
        </is>
      </c>
    </row>
    <row r="4">
      <c r="A4" s="7" t="inlineStr">
        <is>
          <t>R-01</t>
        </is>
      </c>
      <c r="B4" s="7" t="inlineStr">
        <is>
          <t>Consolidate all test results — compile conclusions from all domain rows across assessment sheets</t>
        </is>
      </c>
      <c r="C4" s="7" t="inlineStr"/>
      <c r="D4" s="7" t="inlineStr"/>
      <c r="E4" s="7" t="inlineStr"/>
    </row>
    <row r="5">
      <c r="A5" s="7" t="inlineStr">
        <is>
          <t>R-02</t>
        </is>
      </c>
      <c r="B5" s="7" t="inlineStr">
        <is>
          <t>Assign risk ratings (High/Medium/Low) to each finding based on likelihood and impact</t>
        </is>
      </c>
      <c r="C5" s="7" t="inlineStr"/>
      <c r="D5" s="7" t="inlineStr"/>
      <c r="E5" s="7" t="inlineStr"/>
    </row>
    <row r="6">
      <c r="A6" s="7" t="inlineStr">
        <is>
          <t>R-03</t>
        </is>
      </c>
      <c r="B6" s="7" t="inlineStr">
        <is>
          <t>Map findings to specific regulatory references (Appendix clauses, Part D items)</t>
        </is>
      </c>
      <c r="C6" s="7" t="inlineStr"/>
      <c r="D6" s="7" t="inlineStr"/>
      <c r="E6" s="7" t="inlineStr"/>
    </row>
    <row r="7">
      <c r="A7" s="7" t="inlineStr">
        <is>
          <t>R-04</t>
        </is>
      </c>
      <c r="B7" s="7" t="inlineStr">
        <is>
          <t>Draft recommendations with specific remediation steps, responsible parties, and timelines</t>
        </is>
      </c>
      <c r="C7" s="7" t="inlineStr"/>
      <c r="D7" s="7" t="inlineStr"/>
      <c r="E7" s="7" t="inlineStr"/>
    </row>
    <row r="8">
      <c r="A8" s="7" t="inlineStr">
        <is>
          <t>R-05</t>
        </is>
      </c>
      <c r="B8" s="7" t="inlineStr">
        <is>
          <t>Distinguish must-fix-before-go-live findings from post-launch improvements (for pre-impl)</t>
        </is>
      </c>
      <c r="C8" s="7" t="inlineStr"/>
      <c r="D8" s="7" t="inlineStr"/>
      <c r="E8" s="7" t="inlineStr"/>
    </row>
    <row r="9">
      <c r="A9" s="7" t="inlineStr">
        <is>
          <t>R-06</t>
        </is>
      </c>
      <c r="B9" s="7" t="inlineStr">
        <is>
          <t>Conduct quality assurance / peer review of working papers and findings</t>
        </is>
      </c>
      <c r="C9" s="7" t="inlineStr"/>
      <c r="D9" s="7" t="inlineStr"/>
      <c r="E9" s="7" t="inlineStr"/>
    </row>
    <row r="10">
      <c r="A10" s="7" t="inlineStr">
        <is>
          <t>R-07</t>
        </is>
      </c>
      <c r="B10" s="7" t="inlineStr">
        <is>
          <t>Conduct findings walkthrough with FI management</t>
        </is>
      </c>
      <c r="C10" s="7" t="inlineStr"/>
      <c r="D10" s="7" t="inlineStr"/>
      <c r="E10" s="7" t="inlineStr"/>
    </row>
    <row r="11">
      <c r="A11" s="7" t="inlineStr">
        <is>
          <t>R-08</t>
        </is>
      </c>
      <c r="B11" s="7" t="inlineStr">
        <is>
          <t>Incorporate management responses and agreed action plans</t>
        </is>
      </c>
      <c r="C11" s="7" t="inlineStr"/>
      <c r="D11" s="7" t="inlineStr"/>
      <c r="E11" s="7" t="inlineStr"/>
    </row>
    <row r="12">
      <c r="A12" s="7" t="inlineStr">
        <is>
          <t>R-09</t>
        </is>
      </c>
      <c r="B12" s="7" t="inlineStr">
        <is>
          <t>Form Part C attestation opinion: Type A (Clean), Type B (With Exceptions), or Type C (Adverse)</t>
        </is>
      </c>
      <c r="C12" s="7" t="inlineStr"/>
      <c r="D12" s="7" t="inlineStr"/>
      <c r="E12" s="7" t="inlineStr"/>
    </row>
    <row r="13">
      <c r="A13" s="7" t="inlineStr">
        <is>
          <t>R-10</t>
        </is>
      </c>
      <c r="B13" s="7" t="inlineStr">
        <is>
          <t>Prepare the formal report in Appendix 7 Part A format</t>
        </is>
      </c>
      <c r="C13" s="7" t="inlineStr"/>
      <c r="D13" s="7" t="inlineStr"/>
      <c r="E13" s="7" t="inlineStr"/>
    </row>
    <row r="14">
      <c r="A14" s="7" t="inlineStr">
        <is>
          <t>R-11</t>
        </is>
      </c>
      <c r="B14" s="7" t="inlineStr">
        <is>
          <t>Confirm independence declaration and Part C compliance statement</t>
        </is>
      </c>
      <c r="C14" s="7" t="inlineStr"/>
      <c r="D14" s="7" t="inlineStr"/>
      <c r="E14" s="7" t="inlineStr"/>
    </row>
    <row r="15">
      <c r="A15" s="7" t="inlineStr">
        <is>
          <t>R-12</t>
        </is>
      </c>
      <c r="B15" s="7" t="inlineStr">
        <is>
          <t>Obtain FI management sign-off on report and management action plans</t>
        </is>
      </c>
      <c r="C15" s="7" t="inlineStr"/>
      <c r="D15" s="7" t="inlineStr"/>
      <c r="E15" s="7" t="inlineStr"/>
    </row>
    <row r="16">
      <c r="A16" s="7" t="inlineStr">
        <is>
          <t>R-13</t>
        </is>
      </c>
      <c r="B16" s="7" t="inlineStr">
        <is>
          <t>Prepare executive summary for designated board committee (per 8.3)</t>
        </is>
      </c>
      <c r="C16" s="7" t="inlineStr"/>
      <c r="D16" s="7" t="inlineStr"/>
      <c r="E16" s="7" t="inlineStr"/>
    </row>
    <row r="17">
      <c r="A17" s="7" t="inlineStr">
        <is>
          <t>R-14</t>
        </is>
      </c>
      <c r="B17" s="7" t="inlineStr">
        <is>
          <t>Attend board committee meeting to present findings (if required)</t>
        </is>
      </c>
      <c r="C17" s="7" t="inlineStr"/>
      <c r="D17" s="7" t="inlineStr"/>
      <c r="E17" s="7" t="inlineStr"/>
    </row>
    <row r="18">
      <c r="A18" s="7" t="inlineStr">
        <is>
          <t>R-15</t>
        </is>
      </c>
      <c r="B18" s="7" t="inlineStr">
        <is>
          <t>Document board committee directives and incorporate into final report</t>
        </is>
      </c>
      <c r="C18" s="7" t="inlineStr"/>
      <c r="D18" s="7" t="inlineStr"/>
      <c r="E18" s="7" t="inlineStr"/>
    </row>
    <row r="19">
      <c r="A19" s="7" t="inlineStr">
        <is>
          <t>R-16</t>
        </is>
      </c>
      <c r="B19" s="7" t="inlineStr">
        <is>
          <t>Issue final signed report</t>
        </is>
      </c>
      <c r="C19" s="7" t="inlineStr"/>
      <c r="D19" s="7" t="inlineStr"/>
      <c r="E19" s="7" t="inlineStr"/>
    </row>
  </sheetData>
  <mergeCells count="1">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20" customWidth="1" min="2" max="2"/>
    <col width="45" customWidth="1" min="3" max="3"/>
    <col width="40" customWidth="1" min="4" max="4"/>
    <col width="15" customWidth="1" min="5" max="5"/>
    <col width="30" customWidth="1" min="6" max="6"/>
  </cols>
  <sheetData>
    <row r="1">
      <c r="A1" s="1" t="inlineStr">
        <is>
          <t>APPENDIX 7 PART C — IESP SELF-ASSESSMENT</t>
        </is>
      </c>
    </row>
    <row r="2">
      <c r="A2" s="5" t="inlineStr">
        <is>
          <t>The IESP must comply with these 6 requirements. Complete this self-assessment before issuing the report.</t>
        </is>
      </c>
    </row>
    <row r="4">
      <c r="A4" s="9" t="inlineStr">
        <is>
          <t>#</t>
        </is>
      </c>
      <c r="B4" s="9" t="inlineStr">
        <is>
          <t>Requirement</t>
        </is>
      </c>
      <c r="C4" s="9" t="inlineStr">
        <is>
          <t>Assessment Criteria</t>
        </is>
      </c>
      <c r="D4" s="9" t="inlineStr">
        <is>
          <t>Evidence / Justification</t>
        </is>
      </c>
      <c r="E4" s="9" t="inlineStr">
        <is>
          <t>Compliant?</t>
        </is>
      </c>
      <c r="F4" s="9" t="inlineStr">
        <is>
          <t>Notes</t>
        </is>
      </c>
    </row>
    <row r="5">
      <c r="A5" s="7" t="inlineStr">
        <is>
          <t>1</t>
        </is>
      </c>
      <c r="B5" s="7" t="inlineStr">
        <is>
          <t>Independence</t>
        </is>
      </c>
      <c r="C5" s="7" t="inlineStr">
        <is>
          <t>The IESP is independent of the FI's technology operations and the systems/services being assessed. No conflicts of interest exist between the IESP and the FI.</t>
        </is>
      </c>
      <c r="D5" s="7" t="inlineStr"/>
      <c r="E5" s="7" t="inlineStr"/>
      <c r="F5" s="7" t="inlineStr"/>
    </row>
    <row r="6">
      <c r="A6" s="7" t="inlineStr">
        <is>
          <t>2</t>
        </is>
      </c>
      <c r="B6" s="7" t="inlineStr">
        <is>
          <t>Competence</t>
        </is>
      </c>
      <c r="C6" s="7" t="inlineStr">
        <is>
          <t>The IESP team has relevant professional qualifications (CISA, CISSP, CCSP, CSP-specific certs), certifications, and experience in the subject matter being assessed.</t>
        </is>
      </c>
      <c r="D6" s="7" t="inlineStr"/>
      <c r="E6" s="7" t="inlineStr"/>
      <c r="F6" s="7" t="inlineStr"/>
    </row>
    <row r="7">
      <c r="A7" s="7" t="inlineStr">
        <is>
          <t>3</t>
        </is>
      </c>
      <c r="B7" s="7" t="inlineStr">
        <is>
          <t>Scope</t>
        </is>
      </c>
      <c r="C7" s="7" t="inlineStr">
        <is>
          <t>The assessment covers ALL areas specified in the relevant appendix (Appendix 10, Appendix 9, or Part D as applicable). No required areas were excluded without documented justification.</t>
        </is>
      </c>
      <c r="D7" s="7" t="inlineStr"/>
      <c r="E7" s="7" t="inlineStr"/>
      <c r="F7" s="7" t="inlineStr"/>
    </row>
    <row r="8">
      <c r="A8" s="7" t="inlineStr">
        <is>
          <t>4</t>
        </is>
      </c>
      <c r="B8" s="7" t="inlineStr">
        <is>
          <t>Methodology</t>
        </is>
      </c>
      <c r="C8" s="7" t="inlineStr">
        <is>
          <t>The IESP uses a systematic, risk-based assessment methodology with clear criteria for evaluating controls. The methodology is documented and consistently applied.</t>
        </is>
      </c>
      <c r="D8" s="7" t="inlineStr"/>
      <c r="E8" s="7" t="inlineStr"/>
      <c r="F8" s="7" t="inlineStr"/>
    </row>
    <row r="9">
      <c r="A9" s="7" t="inlineStr">
        <is>
          <t>5</t>
        </is>
      </c>
      <c r="B9" s="7" t="inlineStr">
        <is>
          <t>Reporting</t>
        </is>
      </c>
      <c r="C9" s="7" t="inlineStr">
        <is>
          <t>Findings are reported in the Appendix 7 Part A format with clear risk ratings and actionable recommendations. The report is complete, accurate, and traceable to evidence.</t>
        </is>
      </c>
      <c r="D9" s="7" t="inlineStr"/>
      <c r="E9" s="7" t="inlineStr"/>
      <c r="F9" s="7" t="inlineStr"/>
    </row>
    <row r="10">
      <c r="A10" s="7" t="inlineStr">
        <is>
          <t>6</t>
        </is>
      </c>
      <c r="B10" s="7" t="inlineStr">
        <is>
          <t>Quality Assurance</t>
        </is>
      </c>
      <c r="C10" s="7" t="inlineStr">
        <is>
          <t>Internal QA processes were followed, including peer review of assessment work by a qualified reviewer who did not perform the assessment.</t>
        </is>
      </c>
      <c r="D10" s="7" t="inlineStr"/>
      <c r="E10" s="7" t="inlineStr"/>
      <c r="F10" s="7" t="inlineStr"/>
    </row>
    <row r="12">
      <c r="A12" s="2" t="inlineStr">
        <is>
          <t>SIGN-OFF</t>
        </is>
      </c>
    </row>
    <row r="13">
      <c r="A13" s="3" t="inlineStr">
        <is>
          <t>Lead Assessor:</t>
        </is>
      </c>
      <c r="B13" s="4" t="inlineStr">
        <is>
          <t>________________________</t>
        </is>
      </c>
      <c r="D13" s="3" t="inlineStr">
        <is>
          <t>Date:</t>
        </is>
      </c>
      <c r="E13" s="4" t="inlineStr">
        <is>
          <t>______________</t>
        </is>
      </c>
    </row>
    <row r="14">
      <c r="A14" s="3" t="inlineStr">
        <is>
          <t>Quality Reviewer:</t>
        </is>
      </c>
      <c r="B14" s="4" t="inlineStr">
        <is>
          <t>________________________</t>
        </is>
      </c>
      <c r="D14" s="3" t="inlineStr">
        <is>
          <t>Date:</t>
        </is>
      </c>
      <c r="E14" s="4" t="inlineStr">
        <is>
          <t>______________</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35" customWidth="1" min="1" max="1"/>
    <col width="16" customWidth="1" min="2" max="2"/>
    <col width="20" customWidth="1" min="3" max="3"/>
    <col width="18" customWidth="1" min="4" max="4"/>
    <col width="14" customWidth="1" min="5" max="5"/>
    <col width="16" customWidth="1" min="6" max="6"/>
    <col width="16" customWidth="1" min="7" max="7"/>
    <col width="18" customWidth="1" min="8" max="8"/>
  </cols>
  <sheetData>
    <row r="1">
      <c r="A1" s="1" t="inlineStr">
        <is>
          <t>SCORING DASHBOARD</t>
        </is>
      </c>
    </row>
    <row r="3">
      <c r="A3" s="8" t="inlineStr">
        <is>
          <t>Conclusions are at the DOMAIN level only (Ref pattern: XX-NN without a dot). Sub-item rows (XX-NN.N) have observations but no conclusion.</t>
        </is>
      </c>
    </row>
    <row r="5">
      <c r="A5" s="2" t="inlineStr">
        <is>
          <t>OVERALL SUMMARY</t>
        </is>
      </c>
    </row>
    <row r="6">
      <c r="A6" s="9" t="inlineStr">
        <is>
          <t>Metric</t>
        </is>
      </c>
      <c r="B6" s="9" t="inlineStr">
        <is>
          <t>Value</t>
        </is>
      </c>
    </row>
    <row r="7">
      <c r="A7" s="6" t="inlineStr">
        <is>
          <t>Total Compliant</t>
        </is>
      </c>
      <c r="B7" s="18">
        <f>SUM(B21:B23)</f>
        <v/>
      </c>
    </row>
    <row r="8">
      <c r="A8" s="6" t="inlineStr">
        <is>
          <t>Total Partially Compliant</t>
        </is>
      </c>
      <c r="B8" s="19">
        <f>SUM(C21:C23)</f>
        <v/>
      </c>
    </row>
    <row r="9">
      <c r="A9" s="6" t="inlineStr">
        <is>
          <t>Total Non-Compliant</t>
        </is>
      </c>
      <c r="B9" s="20">
        <f>SUM(D21:D23)</f>
        <v/>
      </c>
    </row>
    <row r="10">
      <c r="A10" s="6" t="inlineStr">
        <is>
          <t>Total N/A</t>
        </is>
      </c>
      <c r="B10" s="21">
        <f>SUM(E21:E23)</f>
        <v/>
      </c>
    </row>
    <row r="11">
      <c r="A11" s="6" t="inlineStr">
        <is>
          <t>Total Not Assessed</t>
        </is>
      </c>
      <c r="B11" s="10">
        <f>SUM(F21:F23)</f>
        <v/>
      </c>
    </row>
    <row r="12">
      <c r="A12" s="6" t="inlineStr">
        <is>
          <t>Total Control Domains</t>
        </is>
      </c>
      <c r="B12" s="10">
        <f>SUM(G21:G23)</f>
        <v/>
      </c>
    </row>
    <row r="13">
      <c r="A13" s="6" t="inlineStr">
        <is>
          <t>Overall Compliance %</t>
        </is>
      </c>
      <c r="B13" s="22">
        <f>IF((B12-B10-B11)=0,"—",B7/(B12-B10-B11))</f>
        <v/>
      </c>
    </row>
    <row r="15">
      <c r="A15" s="2" t="inlineStr">
        <is>
          <t>PART C OPINION INDICATOR</t>
        </is>
      </c>
    </row>
    <row r="16">
      <c r="A16" s="6" t="inlineStr">
        <is>
          <t>Opinion Type</t>
        </is>
      </c>
      <c r="B16" s="15">
        <f>IF(B9&gt;5,"Type C (Adverse)",IF(B9&gt;0,"Type B (With Exceptions)",IF(B8&lt;=3,"Type A (Clean)","Type B (With Exceptions)")))</f>
        <v/>
      </c>
    </row>
    <row r="17">
      <c r="A17" s="23" t="inlineStr">
        <is>
          <t>Criteria:</t>
        </is>
      </c>
      <c r="B17" s="14" t="inlineStr">
        <is>
          <t>Type A (Clean): NC=0 and PC&lt;=3  |  Type B (With Exceptions): NC&gt;0 and NC&lt;=5  |  Type C (Adverse): NC&gt;5</t>
        </is>
      </c>
    </row>
    <row r="19">
      <c r="A19" s="2" t="inlineStr">
        <is>
          <t>PER-SHEET BREAKDOWN</t>
        </is>
      </c>
    </row>
    <row r="20">
      <c r="A20" s="11" t="inlineStr">
        <is>
          <t>Sheet</t>
        </is>
      </c>
      <c r="B20" s="11" t="inlineStr">
        <is>
          <t>Compliant</t>
        </is>
      </c>
      <c r="C20" s="11" t="inlineStr">
        <is>
          <t>Partially Compliant</t>
        </is>
      </c>
      <c r="D20" s="11" t="inlineStr">
        <is>
          <t>Non-Compliant</t>
        </is>
      </c>
      <c r="E20" s="11" t="inlineStr">
        <is>
          <t>N/A</t>
        </is>
      </c>
      <c r="F20" s="11" t="inlineStr">
        <is>
          <t>Not Assessed</t>
        </is>
      </c>
      <c r="G20" s="11" t="inlineStr">
        <is>
          <t>Total Domains</t>
        </is>
      </c>
      <c r="H20" s="11" t="inlineStr">
        <is>
          <t>Compliance %</t>
        </is>
      </c>
    </row>
    <row r="21">
      <c r="A21" s="6" t="inlineStr">
        <is>
          <t>App 10 Part A - Governance</t>
        </is>
      </c>
      <c r="B21" s="18">
        <f>COUNTIF('App 10 Part A - Governance'!M:M,"Compliant")</f>
        <v/>
      </c>
      <c r="C21" s="19">
        <f>COUNTIF('App 10 Part A - Governance'!M:M,"Partially Compliant")</f>
        <v/>
      </c>
      <c r="D21" s="20">
        <f>COUNTIF('App 10 Part A - Governance'!M:M,"Non-Compliant")</f>
        <v/>
      </c>
      <c r="E21" s="21">
        <f>COUNTIF('App 10 Part A - Governance'!M:M,"N/A")</f>
        <v/>
      </c>
      <c r="F21" s="10">
        <f>COUNTIFS('App 10 Part A - Governance'!B:B,"&lt;&gt;",'App 10 Part A - Governance'!C:C,"&lt;&gt;",'App 10 Part A - Governance'!M:M,"=")-COUNTIF('App 10 Part A - Governance'!B:B,"Ref")</f>
        <v/>
      </c>
      <c r="G21" s="10">
        <f>COUNTIFS('App 10 Part A - Governance'!B:B,"&lt;&gt;",'App 10 Part A - Governance'!C:C,"&lt;&gt;")-COUNTIF('App 10 Part A - Governance'!B:B,"Ref")</f>
        <v/>
      </c>
      <c r="H21" s="22">
        <f>IF((G21-E21-F21)=0,"—",B21/(G21-E21-F21))</f>
        <v/>
      </c>
    </row>
    <row r="22">
      <c r="A22" s="6" t="inlineStr">
        <is>
          <t>App 10 Part B - Controls</t>
        </is>
      </c>
      <c r="B22" s="18">
        <f>COUNTIF('App 10 Part B - Controls'!M:M,"Compliant")</f>
        <v/>
      </c>
      <c r="C22" s="19">
        <f>COUNTIF('App 10 Part B - Controls'!M:M,"Partially Compliant")</f>
        <v/>
      </c>
      <c r="D22" s="20">
        <f>COUNTIF('App 10 Part B - Controls'!M:M,"Non-Compliant")</f>
        <v/>
      </c>
      <c r="E22" s="21">
        <f>COUNTIF('App 10 Part B - Controls'!M:M,"N/A")</f>
        <v/>
      </c>
      <c r="F22" s="10">
        <f>COUNTIFS('App 10 Part B - Controls'!B:B,"&lt;&gt;",'App 10 Part B - Controls'!C:C,"&lt;&gt;",'App 10 Part B - Controls'!M:M,"=")-COUNTIF('App 10 Part B - Controls'!B:B,"Ref")</f>
        <v/>
      </c>
      <c r="G22" s="10">
        <f>COUNTIFS('App 10 Part B - Controls'!B:B,"&lt;&gt;",'App 10 Part B - Controls'!C:C,"&lt;&gt;")-COUNTIF('App 10 Part B - Controls'!B:B,"Ref")</f>
        <v/>
      </c>
      <c r="H22" s="22">
        <f>IF((G22-E22-F22)=0,"—",B22/(G22-E22-F22))</f>
        <v/>
      </c>
    </row>
    <row r="23">
      <c r="A23" s="6" t="inlineStr">
        <is>
          <t>Appendix 7 Part D</t>
        </is>
      </c>
      <c r="B23" s="18">
        <f>COUNTIF('Appendix 7 Part D'!M:M,"Compliant")</f>
        <v/>
      </c>
      <c r="C23" s="19">
        <f>COUNTIF('Appendix 7 Part D'!M:M,"Partially Compliant")</f>
        <v/>
      </c>
      <c r="D23" s="20">
        <f>COUNTIF('Appendix 7 Part D'!M:M,"Non-Compliant")</f>
        <v/>
      </c>
      <c r="E23" s="21">
        <f>COUNTIF('Appendix 7 Part D'!M:M,"N/A")</f>
        <v/>
      </c>
      <c r="F23" s="10">
        <f>COUNTIFS('Appendix 7 Part D'!B:B,"&lt;&gt;",'Appendix 7 Part D'!C:C,"&lt;&gt;",'Appendix 7 Part D'!M:M,"=")-COUNTIF('Appendix 7 Part D'!B:B,"Ref")</f>
        <v/>
      </c>
      <c r="G23" s="10">
        <f>COUNTIFS('Appendix 7 Part D'!B:B,"&lt;&gt;",'Appendix 7 Part D'!C:C,"&lt;&gt;")-COUNTIF('Appendix 7 Part D'!B:B,"Ref")</f>
        <v/>
      </c>
      <c r="H23" s="22">
        <f>IF((G23-E23-F23)=0,"—",B23/(G23-E23-F23))</f>
        <v/>
      </c>
    </row>
    <row r="26">
      <c r="A26" s="2" t="inlineStr">
        <is>
          <t>LEVEL BREAKDOWN</t>
        </is>
      </c>
    </row>
    <row r="27">
      <c r="A27" s="11" t="inlineStr">
        <is>
          <t>Level</t>
        </is>
      </c>
      <c r="B27" s="11" t="inlineStr">
        <is>
          <t>Compliant</t>
        </is>
      </c>
      <c r="C27" s="11" t="inlineStr">
        <is>
          <t>Partially Compliant</t>
        </is>
      </c>
      <c r="D27" s="11" t="inlineStr">
        <is>
          <t>Non-Compliant</t>
        </is>
      </c>
      <c r="E27" s="11" t="inlineStr">
        <is>
          <t>N/A</t>
        </is>
      </c>
      <c r="F27" s="11" t="inlineStr">
        <is>
          <t>Not Assessed</t>
        </is>
      </c>
      <c r="G27" s="11" t="inlineStr">
        <is>
          <t>Total</t>
        </is>
      </c>
      <c r="H27" s="11" t="inlineStr"/>
    </row>
    <row r="28">
      <c r="A28" s="6" t="inlineStr">
        <is>
          <t>ORG</t>
        </is>
      </c>
      <c r="B28" s="18">
        <f>COUNTIFS('App 10 Part A - Governance'!C:C,"ORG",'App 10 Part A - Governance'!M:M,"Compliant")+COUNTIFS('App 10 Part B - Controls'!C:C,"ORG",'App 10 Part B - Controls'!M:M,"Compliant")+COUNTIFS('Appendix 7 Part D'!C:C,"ORG",'Appendix 7 Part D'!M:M,"Compliant")</f>
        <v/>
      </c>
      <c r="C28" s="19">
        <f>COUNTIFS('App 10 Part A - Governance'!C:C,"ORG",'App 10 Part A - Governance'!M:M,"Partially Compliant")+COUNTIFS('App 10 Part B - Controls'!C:C,"ORG",'App 10 Part B - Controls'!M:M,"Partially Compliant")+COUNTIFS('Appendix 7 Part D'!C:C,"ORG",'Appendix 7 Part D'!M:M,"Partially Compliant")</f>
        <v/>
      </c>
      <c r="D28" s="20">
        <f>COUNTIFS('App 10 Part A - Governance'!C:C,"ORG",'App 10 Part A - Governance'!M:M,"Non-Compliant")+COUNTIFS('App 10 Part B - Controls'!C:C,"ORG",'App 10 Part B - Controls'!M:M,"Non-Compliant")+COUNTIFS('Appendix 7 Part D'!C:C,"ORG",'Appendix 7 Part D'!M:M,"Non-Compliant")</f>
        <v/>
      </c>
      <c r="E28" s="21">
        <f>COUNTIFS('App 10 Part A - Governance'!C:C,"ORG",'App 10 Part A - Governance'!M:M,"N/A")+COUNTIFS('App 10 Part B - Controls'!C:C,"ORG",'App 10 Part B - Controls'!M:M,"N/A")+COUNTIFS('Appendix 7 Part D'!C:C,"ORG",'Appendix 7 Part D'!M:M,"N/A")</f>
        <v/>
      </c>
      <c r="F28" s="10">
        <f>COUNTIFS('App 10 Part A - Governance'!C:C,"ORG",'App 10 Part A - Governance'!M:M,"=")+COUNTIFS('App 10 Part B - Controls'!C:C,"ORG",'App 10 Part B - Controls'!M:M,"=")+COUNTIFS('Appendix 7 Part D'!C:C,"ORG",'Appendix 7 Part D'!M:M,"=")</f>
        <v/>
      </c>
      <c r="G28" s="10">
        <f>SUM(B28:F28)</f>
        <v/>
      </c>
    </row>
    <row r="29">
      <c r="A29" s="6" t="inlineStr">
        <is>
          <t>PLATFORM</t>
        </is>
      </c>
      <c r="B29" s="18">
        <f>COUNTIFS('App 10 Part A - Governance'!C:C,"PLATFORM",'App 10 Part A - Governance'!M:M,"Compliant")+COUNTIFS('App 10 Part B - Controls'!C:C,"PLATFORM",'App 10 Part B - Controls'!M:M,"Compliant")+COUNTIFS('Appendix 7 Part D'!C:C,"PLATFORM",'Appendix 7 Part D'!M:M,"Compliant")</f>
        <v/>
      </c>
      <c r="C29" s="19">
        <f>COUNTIFS('App 10 Part A - Governance'!C:C,"PLATFORM",'App 10 Part A - Governance'!M:M,"Partially Compliant")+COUNTIFS('App 10 Part B - Controls'!C:C,"PLATFORM",'App 10 Part B - Controls'!M:M,"Partially Compliant")+COUNTIFS('Appendix 7 Part D'!C:C,"PLATFORM",'Appendix 7 Part D'!M:M,"Partially Compliant")</f>
        <v/>
      </c>
      <c r="D29" s="20">
        <f>COUNTIFS('App 10 Part A - Governance'!C:C,"PLATFORM",'App 10 Part A - Governance'!M:M,"Non-Compliant")+COUNTIFS('App 10 Part B - Controls'!C:C,"PLATFORM",'App 10 Part B - Controls'!M:M,"Non-Compliant")+COUNTIFS('Appendix 7 Part D'!C:C,"PLATFORM",'Appendix 7 Part D'!M:M,"Non-Compliant")</f>
        <v/>
      </c>
      <c r="E29" s="21">
        <f>COUNTIFS('App 10 Part A - Governance'!C:C,"PLATFORM",'App 10 Part A - Governance'!M:M,"N/A")+COUNTIFS('App 10 Part B - Controls'!C:C,"PLATFORM",'App 10 Part B - Controls'!M:M,"N/A")+COUNTIFS('Appendix 7 Part D'!C:C,"PLATFORM",'Appendix 7 Part D'!M:M,"N/A")</f>
        <v/>
      </c>
      <c r="F29" s="10">
        <f>COUNTIFS('App 10 Part A - Governance'!C:C,"PLATFORM",'App 10 Part A - Governance'!M:M,"=")+COUNTIFS('App 10 Part B - Controls'!C:C,"PLATFORM",'App 10 Part B - Controls'!M:M,"=")+COUNTIFS('Appendix 7 Part D'!C:C,"PLATFORM",'Appendix 7 Part D'!M:M,"=")</f>
        <v/>
      </c>
      <c r="G29" s="10">
        <f>SUM(B29:F29)</f>
        <v/>
      </c>
    </row>
    <row r="30">
      <c r="A30" s="6" t="inlineStr">
        <is>
          <t>WORKLOAD</t>
        </is>
      </c>
      <c r="B30" s="18">
        <f>COUNTIFS('App 10 Part A - Governance'!C:C,"WORKLOAD",'App 10 Part A - Governance'!M:M,"Compliant")+COUNTIFS('App 10 Part B - Controls'!C:C,"WORKLOAD",'App 10 Part B - Controls'!M:M,"Compliant")+COUNTIFS('Appendix 7 Part D'!C:C,"WORKLOAD",'Appendix 7 Part D'!M:M,"Compliant")</f>
        <v/>
      </c>
      <c r="C30" s="19">
        <f>COUNTIFS('App 10 Part A - Governance'!C:C,"WORKLOAD",'App 10 Part A - Governance'!M:M,"Partially Compliant")+COUNTIFS('App 10 Part B - Controls'!C:C,"WORKLOAD",'App 10 Part B - Controls'!M:M,"Partially Compliant")+COUNTIFS('Appendix 7 Part D'!C:C,"WORKLOAD",'Appendix 7 Part D'!M:M,"Partially Compliant")</f>
        <v/>
      </c>
      <c r="D30" s="20">
        <f>COUNTIFS('App 10 Part A - Governance'!C:C,"WORKLOAD",'App 10 Part A - Governance'!M:M,"Non-Compliant")+COUNTIFS('App 10 Part B - Controls'!C:C,"WORKLOAD",'App 10 Part B - Controls'!M:M,"Non-Compliant")+COUNTIFS('Appendix 7 Part D'!C:C,"WORKLOAD",'Appendix 7 Part D'!M:M,"Non-Compliant")</f>
        <v/>
      </c>
      <c r="E30" s="21">
        <f>COUNTIFS('App 10 Part A - Governance'!C:C,"WORKLOAD",'App 10 Part A - Governance'!M:M,"N/A")+COUNTIFS('App 10 Part B - Controls'!C:C,"WORKLOAD",'App 10 Part B - Controls'!M:M,"N/A")+COUNTIFS('Appendix 7 Part D'!C:C,"WORKLOAD",'Appendix 7 Part D'!M:M,"N/A")</f>
        <v/>
      </c>
      <c r="F30" s="10">
        <f>COUNTIFS('App 10 Part A - Governance'!C:C,"WORKLOAD",'App 10 Part A - Governance'!M:M,"=")+COUNTIFS('App 10 Part B - Controls'!C:C,"WORKLOAD",'App 10 Part B - Controls'!M:M,"=")+COUNTIFS('Appendix 7 Part D'!C:C,"WORKLOAD",'Appendix 7 Part D'!M:M,"=")</f>
        <v/>
      </c>
      <c r="G30" s="10">
        <f>SUM(B30:F30)</f>
        <v/>
      </c>
    </row>
  </sheetData>
  <mergeCells count="7">
    <mergeCell ref="A1:H1"/>
    <mergeCell ref="A3:H3"/>
    <mergeCell ref="A26:H26"/>
    <mergeCell ref="B17:H17"/>
    <mergeCell ref="A15:B15"/>
    <mergeCell ref="A19:H1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2026-03-31T16:19:09Z</dcterms:created>
  <dcterms:modified xmlns:dcterms="http://purl.org/dc/terms/" xmlns:xsi="http://www.w3.org/2001/XMLSchema-instance" xsi:type="dcterms:W3CDTF">2026-03-31T16:19:09Z</dcterms:modified>
</cp:coreProperties>
</file>